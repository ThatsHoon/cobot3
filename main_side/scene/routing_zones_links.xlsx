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Zones" sheetId="1" state="visible" r:id="rId2"/>
    <sheet name="Links" sheetId="2" state="visible" r:id="rId3"/>
    <sheet name="READM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<sst xmlns="http://schemas.openxmlformats.org/spreadsheetml/2006/main" count="540" uniqueCount="73">
  <si>
    <t xml:space="preserve">#</t>
  </si>
  <si>
    <t xml:space="preserve">Name</t>
  </si>
  <si>
    <t xml:space="preserve">X</t>
  </si>
  <si>
    <t xml:space="preserve">Y</t>
  </si>
  <si>
    <t xml:space="preserve">Z</t>
  </si>
  <si>
    <t xml:space="preserve">Notes</t>
  </si>
  <si>
    <t xml:space="preserve">StartingPoint</t>
  </si>
  <si>
    <t xml:space="preserve">Xform</t>
  </si>
  <si>
    <t xml:space="preserve">Xform_01</t>
  </si>
  <si>
    <t xml:space="preserve">Xform_02</t>
  </si>
  <si>
    <t xml:space="preserve">Xform_03</t>
  </si>
  <si>
    <t xml:space="preserve">Xform_04</t>
  </si>
  <si>
    <t xml:space="preserve">Xform_05</t>
  </si>
  <si>
    <t xml:space="preserve">Xform_06</t>
  </si>
  <si>
    <t xml:space="preserve">Xform_07</t>
  </si>
  <si>
    <t xml:space="preserve">Xform_08</t>
  </si>
  <si>
    <t xml:space="preserve">Xform_09</t>
  </si>
  <si>
    <t xml:space="preserve">Xform_10</t>
  </si>
  <si>
    <t xml:space="preserve">Xform_11</t>
  </si>
  <si>
    <t xml:space="preserve">Xform_12</t>
  </si>
  <si>
    <t xml:space="preserve">Xform_13</t>
  </si>
  <si>
    <t xml:space="preserve">Xform_14</t>
  </si>
  <si>
    <t xml:space="preserve">Xform_15</t>
  </si>
  <si>
    <t xml:space="preserve">Xform_16</t>
  </si>
  <si>
    <t xml:space="preserve">Xform_17</t>
  </si>
  <si>
    <t xml:space="preserve">Xform_18</t>
  </si>
  <si>
    <t xml:space="preserve">Xform_19</t>
  </si>
  <si>
    <t xml:space="preserve">Xform_20</t>
  </si>
  <si>
    <t xml:space="preserve">Xform_21</t>
  </si>
  <si>
    <t xml:space="preserve">Xform_22</t>
  </si>
  <si>
    <t xml:space="preserve">Xform_23</t>
  </si>
  <si>
    <t xml:space="preserve">Xform_24</t>
  </si>
  <si>
    <t xml:space="preserve">Xform_25</t>
  </si>
  <si>
    <t xml:space="preserve">Xform_26</t>
  </si>
  <si>
    <t xml:space="preserve">Xform_27</t>
  </si>
  <si>
    <t xml:space="preserve">Xform_28</t>
  </si>
  <si>
    <t xml:space="preserve">Xform_29</t>
  </si>
  <si>
    <t xml:space="preserve">Xform_30</t>
  </si>
  <si>
    <t xml:space="preserve">Xform_31</t>
  </si>
  <si>
    <t xml:space="preserve">Xform_32</t>
  </si>
  <si>
    <t xml:space="preserve">From</t>
  </si>
  <si>
    <t xml:space="preserve">To</t>
  </si>
  <si>
    <t xml:space="preserve">Bidirectional</t>
  </si>
  <si>
    <t xml:space="preserve">Enabled</t>
  </si>
  <si>
    <r>
      <rPr>
        <b val="true"/>
        <sz val="11"/>
        <color rgb="FFFFFFFF"/>
        <rFont val="Cambria"/>
        <family val="0"/>
        <charset val="1"/>
      </rPr>
      <t xml:space="preserve">StraightDist_m (</t>
    </r>
    <r>
      <rPr>
        <b val="true"/>
        <sz val="11"/>
        <color rgb="FFFFFFFF"/>
        <rFont val="Noto Sans CJK SC"/>
        <family val="2"/>
      </rPr>
      <t xml:space="preserve">참고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</si>
  <si>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From_Z</t>
  </si>
  <si>
    <t xml:space="preserve">To_Z</t>
  </si>
  <si>
    <t xml:space="preserve">ΔZ (auto)</t>
  </si>
  <si>
    <r>
      <rPr>
        <sz val="11"/>
        <color rgb="FF000000"/>
        <rFont val="Calibri"/>
        <family val="2"/>
      </rPr>
      <t xml:space="preserve">Xform_09</t>
    </r>
    <r>
      <rPr>
        <sz val="11"/>
        <color rgb="FF000000"/>
        <rFont val="Noto Sans CJK SC"/>
        <family val="2"/>
      </rPr>
      <t xml:space="preserve">는 </t>
    </r>
    <r>
      <rPr>
        <sz val="11"/>
        <color rgb="FF000000"/>
        <rFont val="Calibri"/>
        <family val="2"/>
      </rPr>
      <t xml:space="preserve">TP_A </t>
    </r>
    <r>
      <rPr>
        <sz val="11"/>
        <color rgb="FF000000"/>
        <rFont val="Noto Sans CJK SC"/>
        <family val="2"/>
      </rPr>
      <t xml:space="preserve">의 최종 목적 좌표</t>
    </r>
  </si>
  <si>
    <r>
      <rPr>
        <sz val="11"/>
        <color rgb="FF000000"/>
        <rFont val="Calibri"/>
        <family val="2"/>
        <charset val="1"/>
      </rPr>
      <t xml:space="preserve">Xform_13</t>
    </r>
    <r>
      <rPr>
        <sz val="11"/>
        <color rgb="FF000000"/>
        <rFont val="Noto Sans CJK SC"/>
        <family val="2"/>
      </rPr>
      <t xml:space="preserve">은 </t>
    </r>
    <r>
      <rPr>
        <sz val="11"/>
        <color rgb="FF000000"/>
        <rFont val="Calibri"/>
        <family val="2"/>
        <charset val="1"/>
      </rPr>
      <t xml:space="preserve">TP_B </t>
    </r>
    <r>
      <rPr>
        <sz val="11"/>
        <color rgb="FF000000"/>
        <rFont val="Noto Sans CJK SC"/>
        <family val="2"/>
      </rPr>
      <t xml:space="preserve">의 최종 목적 좌표</t>
    </r>
  </si>
  <si>
    <r>
      <rPr>
        <sz val="11"/>
        <color rgb="FF000000"/>
        <rFont val="Calibri"/>
        <family val="2"/>
        <charset val="1"/>
      </rPr>
      <t xml:space="preserve">Xform_23</t>
    </r>
    <r>
      <rPr>
        <sz val="11"/>
        <color rgb="FF000000"/>
        <rFont val="Noto Sans CJK SC"/>
        <family val="2"/>
      </rPr>
      <t xml:space="preserve">은 </t>
    </r>
    <r>
      <rPr>
        <sz val="11"/>
        <color rgb="FF000000"/>
        <rFont val="Calibri"/>
        <family val="2"/>
        <charset val="1"/>
      </rPr>
      <t xml:space="preserve">TP_D </t>
    </r>
    <r>
      <rPr>
        <sz val="11"/>
        <color rgb="FF000000"/>
        <rFont val="Noto Sans CJK SC"/>
        <family val="2"/>
      </rPr>
      <t xml:space="preserve">의 최종 목적 좌표</t>
    </r>
  </si>
  <si>
    <r>
      <rPr>
        <sz val="11"/>
        <color rgb="FF000000"/>
        <rFont val="Calibri"/>
        <family val="2"/>
        <charset val="1"/>
      </rPr>
      <t xml:space="preserve">Xform_32</t>
    </r>
    <r>
      <rPr>
        <sz val="11"/>
        <color rgb="FF000000"/>
        <rFont val="Noto Sans CJK SC"/>
        <family val="2"/>
      </rPr>
      <t xml:space="preserve">는 </t>
    </r>
    <r>
      <rPr>
        <sz val="11"/>
        <color rgb="FF000000"/>
        <rFont val="Calibri"/>
        <family val="2"/>
        <charset val="1"/>
      </rPr>
      <t xml:space="preserve">TP_C </t>
    </r>
    <r>
      <rPr>
        <sz val="11"/>
        <color rgb="FF000000"/>
        <rFont val="Noto Sans CJK SC"/>
        <family val="2"/>
      </rPr>
      <t xml:space="preserve">의 최종 목적 좌표</t>
    </r>
  </si>
  <si>
    <r>
      <rPr>
        <b val="true"/>
        <sz val="14"/>
        <rFont val="Cambria"/>
        <family val="0"/>
        <charset val="1"/>
      </rPr>
      <t xml:space="preserve">Routing_Zones </t>
    </r>
    <r>
      <rPr>
        <b val="true"/>
        <sz val="14"/>
        <rFont val="Noto Sans CJK SC"/>
        <family val="2"/>
      </rPr>
      <t xml:space="preserve">링크 설정표 </t>
    </r>
    <r>
      <rPr>
        <b val="true"/>
        <sz val="14"/>
        <rFont val="Cambria"/>
        <family val="0"/>
        <charset val="1"/>
      </rPr>
      <t xml:space="preserve">(zone </t>
    </r>
    <r>
      <rPr>
        <b val="true"/>
        <sz val="14"/>
        <rFont val="Noto Sans CJK SC"/>
        <family val="2"/>
      </rPr>
      <t xml:space="preserve">인접 그래프 정의용</t>
    </r>
    <r>
      <rPr>
        <b val="true"/>
        <sz val="14"/>
        <rFont val="Cambria"/>
        <family val="0"/>
        <charset val="1"/>
      </rPr>
      <t xml:space="preserve">)</t>
    </r>
  </si>
  <si>
    <r>
      <rPr>
        <b val="true"/>
        <sz val="11"/>
        <rFont val="Cambria"/>
        <family val="0"/>
        <charset val="1"/>
      </rPr>
      <t xml:space="preserve">★ '</t>
    </r>
    <r>
      <rPr>
        <b val="true"/>
        <sz val="11"/>
        <rFont val="Noto Sans CJK SC"/>
        <family val="2"/>
      </rPr>
      <t xml:space="preserve">링크</t>
    </r>
    <r>
      <rPr>
        <b val="true"/>
        <sz val="11"/>
        <rFont val="Cambria"/>
        <family val="0"/>
        <charset val="1"/>
      </rPr>
      <t xml:space="preserve">' </t>
    </r>
    <r>
      <rPr>
        <b val="true"/>
        <sz val="11"/>
        <rFont val="Noto Sans CJK SC"/>
        <family val="2"/>
      </rPr>
      <t xml:space="preserve">의 의미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중요</t>
    </r>
    <r>
      <rPr>
        <b val="true"/>
        <sz val="11"/>
        <rFont val="Cambria"/>
        <family val="0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</si>
  <si>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Noto Sans CJK SC"/>
        <family val="2"/>
      </rPr>
      <t xml:space="preserve">링크는 두 </t>
    </r>
    <r>
      <rPr>
        <sz val="11"/>
        <color rgb="FF000000"/>
        <rFont val="Calibri"/>
        <family val="2"/>
        <charset val="1"/>
      </rPr>
      <t xml:space="preserve">zone </t>
    </r>
    <r>
      <rPr>
        <sz val="11"/>
        <color rgb="FF000000"/>
        <rFont val="Noto Sans CJK SC"/>
        <family val="2"/>
      </rPr>
      <t xml:space="preserve">사이의 </t>
    </r>
    <r>
      <rPr>
        <sz val="11"/>
        <color rgb="FF000000"/>
        <rFont val="Calibri"/>
        <family val="2"/>
        <charset val="1"/>
      </rPr>
      <t xml:space="preserve">**</t>
    </r>
    <r>
      <rPr>
        <sz val="11"/>
        <color rgb="FF000000"/>
        <rFont val="Noto Sans CJK SC"/>
        <family val="2"/>
      </rPr>
      <t xml:space="preserve">인접 허용 선언</t>
    </r>
    <r>
      <rPr>
        <sz val="11"/>
        <color rgb="FF000000"/>
        <rFont val="Calibri"/>
        <family val="2"/>
        <charset val="1"/>
      </rPr>
      <t xml:space="preserve">** — '</t>
    </r>
    <r>
      <rPr>
        <sz val="11"/>
        <color rgb="FF000000"/>
        <rFont val="Noto Sans CJK SC"/>
        <family val="2"/>
      </rPr>
      <t xml:space="preserve">이 </t>
    </r>
    <r>
      <rPr>
        <sz val="11"/>
        <color rgb="FF000000"/>
        <rFont val="Calibri"/>
        <family val="2"/>
        <charset val="1"/>
      </rPr>
      <t xml:space="preserve">zone </t>
    </r>
    <r>
      <rPr>
        <sz val="11"/>
        <color rgb="FF000000"/>
        <rFont val="Noto Sans CJK SC"/>
        <family val="2"/>
      </rPr>
      <t xml:space="preserve">에서 저 </t>
    </r>
    <r>
      <rPr>
        <sz val="11"/>
        <color rgb="FF000000"/>
        <rFont val="Calibri"/>
        <family val="2"/>
        <charset val="1"/>
      </rPr>
      <t xml:space="preserve">zone </t>
    </r>
    <r>
      <rPr>
        <sz val="11"/>
        <color rgb="FF000000"/>
        <rFont val="Noto Sans CJK SC"/>
        <family val="2"/>
      </rPr>
      <t xml:space="preserve">으로 직접 갈 수 있다</t>
    </r>
    <r>
      <rPr>
        <sz val="11"/>
        <color rgb="FF000000"/>
        <rFont val="Calibri"/>
        <family val="2"/>
        <charset val="1"/>
      </rPr>
      <t xml:space="preserve">' </t>
    </r>
    <r>
      <rPr>
        <sz val="11"/>
        <color rgb="FF000000"/>
        <rFont val="Noto Sans CJK SC"/>
        <family val="2"/>
      </rPr>
      <t xml:space="preserve">는 그래프 </t>
    </r>
    <r>
      <rPr>
        <sz val="11"/>
        <color rgb="FF000000"/>
        <rFont val="Calibri"/>
        <family val="2"/>
        <charset val="1"/>
      </rPr>
      <t xml:space="preserve">edge</t>
    </r>
  </si>
  <si>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Noto Sans CJK SC"/>
        <family val="2"/>
      </rPr>
      <t xml:space="preserve">직선 경로를 강제하는 게 아님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Noto Sans CJK SC"/>
        <family val="2"/>
      </rPr>
      <t xml:space="preserve">실제 이동 경로는 </t>
    </r>
    <r>
      <rPr>
        <sz val="11"/>
        <color rgb="FF000000"/>
        <rFont val="Calibri"/>
        <family val="2"/>
        <charset val="1"/>
      </rPr>
      <t xml:space="preserve">Nav2 </t>
    </r>
    <r>
      <rPr>
        <sz val="11"/>
        <color rgb="FF000000"/>
        <rFont val="Noto Sans CJK SC"/>
        <family val="2"/>
      </rPr>
      <t xml:space="preserve">가 </t>
    </r>
    <r>
      <rPr>
        <sz val="11"/>
        <color rgb="FF000000"/>
        <rFont val="Calibri"/>
        <family val="2"/>
        <charset val="1"/>
      </rPr>
      <t xml:space="preserve">obstacle/</t>
    </r>
    <r>
      <rPr>
        <sz val="11"/>
        <color rgb="FF000000"/>
        <rFont val="Noto Sans CJK SC"/>
        <family val="2"/>
      </rPr>
      <t xml:space="preserve">지형 회피하며 자동 </t>
    </r>
    <r>
      <rPr>
        <sz val="11"/>
        <color rgb="FF000000"/>
        <rFont val="Calibri"/>
        <family val="2"/>
        <charset val="1"/>
      </rPr>
      <t xml:space="preserve">plan</t>
    </r>
  </si>
  <si>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Noto Sans CJK SC"/>
        <family val="2"/>
      </rPr>
      <t xml:space="preserve">링크 없는 </t>
    </r>
    <r>
      <rPr>
        <sz val="11"/>
        <color rgb="FF000000"/>
        <rFont val="Calibri"/>
        <family val="2"/>
        <charset val="1"/>
      </rPr>
      <t xml:space="preserve">zone </t>
    </r>
    <r>
      <rPr>
        <sz val="11"/>
        <color rgb="FF000000"/>
        <rFont val="Noto Sans CJK SC"/>
        <family val="2"/>
      </rPr>
      <t xml:space="preserve">쌍은 인접하지 않음 → </t>
    </r>
    <r>
      <rPr>
        <sz val="11"/>
        <color rgb="FF000000"/>
        <rFont val="Calibri"/>
        <family val="2"/>
        <charset val="1"/>
      </rPr>
      <t xml:space="preserve">Dijkstra </t>
    </r>
    <r>
      <rPr>
        <sz val="11"/>
        <color rgb="FF000000"/>
        <rFont val="Noto Sans CJK SC"/>
        <family val="2"/>
      </rPr>
      <t xml:space="preserve">가 다른 </t>
    </r>
    <r>
      <rPr>
        <sz val="11"/>
        <color rgb="FF000000"/>
        <rFont val="Calibri"/>
        <family val="2"/>
        <charset val="1"/>
      </rPr>
      <t xml:space="preserve">zone </t>
    </r>
    <r>
      <rPr>
        <sz val="11"/>
        <color rgb="FF000000"/>
        <rFont val="Noto Sans CJK SC"/>
        <family val="2"/>
      </rPr>
      <t xml:space="preserve">들을 경유하는 경로를 찾음</t>
    </r>
  </si>
  <si>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Noto Sans CJK SC"/>
        <family val="2"/>
      </rPr>
      <t xml:space="preserve">예</t>
    </r>
    <r>
      <rPr>
        <sz val="11"/>
        <color rgb="FF000000"/>
        <rFont val="Calibri"/>
        <family val="2"/>
        <charset val="1"/>
      </rPr>
      <t xml:space="preserve">: A↔B, B↔C </t>
    </r>
    <r>
      <rPr>
        <sz val="11"/>
        <color rgb="FF000000"/>
        <rFont val="Noto Sans CJK SC"/>
        <family val="2"/>
      </rPr>
      <t xml:space="preserve">만 연결 → </t>
    </r>
    <r>
      <rPr>
        <sz val="11"/>
        <color rgb="FF000000"/>
        <rFont val="Calibri"/>
        <family val="2"/>
        <charset val="1"/>
      </rPr>
      <t xml:space="preserve">A </t>
    </r>
    <r>
      <rPr>
        <sz val="11"/>
        <color rgb="FF000000"/>
        <rFont val="Noto Sans CJK SC"/>
        <family val="2"/>
      </rPr>
      <t xml:space="preserve">에서 </t>
    </r>
    <r>
      <rPr>
        <sz val="11"/>
        <color rgb="FF000000"/>
        <rFont val="Calibri"/>
        <family val="2"/>
        <charset val="1"/>
      </rPr>
      <t xml:space="preserve">C </t>
    </r>
    <r>
      <rPr>
        <sz val="11"/>
        <color rgb="FF000000"/>
        <rFont val="Noto Sans CJK SC"/>
        <family val="2"/>
      </rPr>
      <t xml:space="preserve">로 가려면 반드시 </t>
    </r>
    <r>
      <rPr>
        <sz val="11"/>
        <color rgb="FF000000"/>
        <rFont val="Calibri"/>
        <family val="2"/>
        <charset val="1"/>
      </rPr>
      <t xml:space="preserve">B </t>
    </r>
    <r>
      <rPr>
        <sz val="11"/>
        <color rgb="FF000000"/>
        <rFont val="Noto Sans CJK SC"/>
        <family val="2"/>
      </rPr>
      <t xml:space="preserve">경유</t>
    </r>
  </si>
  <si>
    <t xml:space="preserve">사용법</t>
  </si>
  <si>
    <r>
      <rPr>
        <b val="true"/>
        <sz val="11"/>
        <rFont val="Cambria"/>
        <family val="0"/>
        <charset val="1"/>
      </rPr>
      <t xml:space="preserve">1. Links </t>
    </r>
    <r>
      <rPr>
        <b val="true"/>
        <sz val="11"/>
        <rFont val="Noto Sans CJK SC"/>
        <family val="2"/>
      </rPr>
      <t xml:space="preserve">시트 </t>
    </r>
    <r>
      <rPr>
        <b val="true"/>
        <sz val="11"/>
        <rFont val="Cambria"/>
        <family val="0"/>
        <charset val="1"/>
      </rPr>
      <t xml:space="preserve">From / To </t>
    </r>
    <r>
      <rPr>
        <b val="true"/>
        <sz val="11"/>
        <rFont val="Noto Sans CJK SC"/>
        <family val="2"/>
      </rPr>
      <t xml:space="preserve">셀에서 </t>
    </r>
    <r>
      <rPr>
        <b val="true"/>
        <sz val="11"/>
        <rFont val="Cambria"/>
        <family val="0"/>
        <charset val="1"/>
      </rPr>
      <t xml:space="preserve">dropdown </t>
    </r>
    <r>
      <rPr>
        <b val="true"/>
        <sz val="11"/>
        <rFont val="Noto Sans CJK SC"/>
        <family val="2"/>
      </rPr>
      <t xml:space="preserve">으로 </t>
    </r>
    <r>
      <rPr>
        <b val="true"/>
        <sz val="11"/>
        <rFont val="Cambria"/>
        <family val="0"/>
        <charset val="1"/>
      </rPr>
      <t xml:space="preserve">zone </t>
    </r>
    <r>
      <rPr>
        <b val="true"/>
        <sz val="11"/>
        <rFont val="Noto Sans CJK SC"/>
        <family val="2"/>
      </rPr>
      <t xml:space="preserve">이름 선택 → 인접쌍 한 행</t>
    </r>
  </si>
  <si>
    <r>
      <rPr>
        <sz val="11"/>
        <color rgb="FF000000"/>
        <rFont val="Calibri"/>
        <family val="2"/>
        <charset val="1"/>
      </rPr>
      <t xml:space="preserve">2. Bidirectional: Y = </t>
    </r>
    <r>
      <rPr>
        <sz val="11"/>
        <color rgb="FF000000"/>
        <rFont val="Noto Sans CJK SC"/>
        <family val="2"/>
      </rPr>
      <t xml:space="preserve">양방향 </t>
    </r>
    <r>
      <rPr>
        <sz val="11"/>
        <color rgb="FF000000"/>
        <rFont val="Calibri"/>
        <family val="2"/>
        <charset val="1"/>
      </rPr>
      <t xml:space="preserve">(A↔B), N = </t>
    </r>
    <r>
      <rPr>
        <sz val="11"/>
        <color rgb="FF000000"/>
        <rFont val="Noto Sans CJK SC"/>
        <family val="2"/>
      </rPr>
      <t xml:space="preserve">단방향 </t>
    </r>
    <r>
      <rPr>
        <sz val="11"/>
        <color rgb="FF000000"/>
        <rFont val="Calibri"/>
        <family val="2"/>
        <charset val="1"/>
      </rPr>
      <t xml:space="preserve">(From → To </t>
    </r>
    <r>
      <rPr>
        <sz val="11"/>
        <color rgb="FF000000"/>
        <rFont val="Noto Sans CJK SC"/>
        <family val="2"/>
      </rPr>
      <t xml:space="preserve">만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</si>
  <si>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3. Enabled: Y = </t>
    </r>
    <r>
      <rPr>
        <sz val="11"/>
        <color rgb="FF000000"/>
        <rFont val="Noto Sans CJK SC"/>
        <family val="2"/>
      </rPr>
      <t xml:space="preserve">활성</t>
    </r>
    <r>
      <rPr>
        <sz val="11"/>
        <color rgb="FF000000"/>
        <rFont val="Calibri"/>
        <family val="2"/>
        <charset val="1"/>
      </rPr>
      <t xml:space="preserve">, N = </t>
    </r>
    <r>
      <rPr>
        <sz val="11"/>
        <color rgb="FF000000"/>
        <rFont val="Noto Sans CJK SC"/>
        <family val="2"/>
      </rPr>
      <t xml:space="preserve">비활성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그래프 빌드 시 무시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</si>
  <si>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4. StraightDist_m / From_Z / To_Z / ΔZ </t>
    </r>
    <r>
      <rPr>
        <sz val="11"/>
        <color rgb="FF000000"/>
        <rFont val="Noto Sans CJK SC"/>
        <family val="2"/>
      </rPr>
      <t xml:space="preserve">는 자동 계산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참고용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Noto Sans CJK SC"/>
        <family val="2"/>
      </rPr>
      <t xml:space="preserve">편집 금지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</si>
  <si>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   - </t>
    </r>
    <r>
      <rPr>
        <sz val="11"/>
        <color rgb="FF000000"/>
        <rFont val="Noto Sans CJK SC"/>
        <family val="2"/>
      </rPr>
      <t xml:space="preserve">두 </t>
    </r>
    <r>
      <rPr>
        <sz val="11"/>
        <color rgb="FF000000"/>
        <rFont val="Calibri"/>
        <family val="2"/>
        <charset val="1"/>
      </rPr>
      <t xml:space="preserve">zone </t>
    </r>
    <r>
      <rPr>
        <sz val="11"/>
        <color rgb="FF000000"/>
        <rFont val="Noto Sans CJK SC"/>
        <family val="2"/>
      </rPr>
      <t xml:space="preserve">간 직선거리 — </t>
    </r>
    <r>
      <rPr>
        <sz val="11"/>
        <color rgb="FF000000"/>
        <rFont val="Calibri"/>
        <family val="2"/>
        <charset val="1"/>
      </rPr>
      <t xml:space="preserve">Dijkstra cost hint </t>
    </r>
    <r>
      <rPr>
        <sz val="11"/>
        <color rgb="FF000000"/>
        <rFont val="Noto Sans CJK SC"/>
        <family val="2"/>
      </rPr>
      <t xml:space="preserve">로만 사용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Noto Sans CJK SC"/>
        <family val="2"/>
      </rPr>
      <t xml:space="preserve">실제 경로 길이 아님</t>
    </r>
  </si>
  <si>
    <r>
      <rPr>
        <sz val="11"/>
        <color rgb="FF000000"/>
        <rFont val="Calibri"/>
        <family val="2"/>
        <charset val="1"/>
      </rPr>
      <t xml:space="preserve">5. Notes </t>
    </r>
    <r>
      <rPr>
        <sz val="11"/>
        <color rgb="FF000000"/>
        <rFont val="Noto Sans CJK SC"/>
        <family val="2"/>
      </rPr>
      <t xml:space="preserve">에 자유 메모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예</t>
    </r>
    <r>
      <rPr>
        <sz val="11"/>
        <color rgb="FF000000"/>
        <rFont val="Calibri"/>
        <family val="2"/>
        <charset val="1"/>
      </rPr>
      <t xml:space="preserve">: '</t>
    </r>
    <r>
      <rPr>
        <sz val="11"/>
        <color rgb="FF000000"/>
        <rFont val="Noto Sans CJK SC"/>
        <family val="2"/>
      </rPr>
      <t xml:space="preserve">경사 가파름 — 우회 금지</t>
    </r>
    <r>
      <rPr>
        <sz val="11"/>
        <color rgb="FF000000"/>
        <rFont val="Calibri"/>
        <family val="2"/>
        <charset val="1"/>
      </rPr>
      <t xml:space="preserve">', '</t>
    </r>
    <r>
      <rPr>
        <sz val="11"/>
        <color rgb="FF000000"/>
        <rFont val="Noto Sans CJK SC"/>
        <family val="2"/>
      </rPr>
      <t xml:space="preserve">문 통과</t>
    </r>
    <r>
      <rPr>
        <sz val="11"/>
        <color rgb="FF000000"/>
        <rFont val="Calibri"/>
        <family val="2"/>
        <charset val="1"/>
      </rPr>
      <t xml:space="preserve">', '</t>
    </r>
    <r>
      <rPr>
        <sz val="11"/>
        <color rgb="FF000000"/>
        <rFont val="Noto Sans CJK SC"/>
        <family val="2"/>
      </rPr>
      <t xml:space="preserve">계단</t>
    </r>
    <r>
      <rPr>
        <sz val="11"/>
        <color rgb="FF000000"/>
        <rFont val="Calibri"/>
        <family val="2"/>
        <charset val="1"/>
      </rPr>
      <t xml:space="preserve">' </t>
    </r>
    <r>
      <rPr>
        <sz val="11"/>
        <color rgb="FF000000"/>
        <rFont val="Noto Sans CJK SC"/>
        <family val="2"/>
      </rPr>
      <t xml:space="preserve">등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</si>
  <si>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zone_router </t>
    </r>
    <r>
      <rPr>
        <sz val="11"/>
        <color rgb="FF000000"/>
        <rFont val="Noto Sans CJK SC"/>
        <family val="2"/>
      </rPr>
      <t xml:space="preserve">통합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예정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</si>
  <si>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Noto Sans CJK SC"/>
        <family val="2"/>
      </rPr>
      <t xml:space="preserve">이 </t>
    </r>
    <r>
      <rPr>
        <sz val="11"/>
        <color rgb="FF000000"/>
        <rFont val="Calibri"/>
        <family val="2"/>
        <charset val="1"/>
      </rPr>
      <t xml:space="preserve">xlsx </t>
    </r>
    <r>
      <rPr>
        <sz val="11"/>
        <color rgb="FF000000"/>
        <rFont val="Noto Sans CJK SC"/>
        <family val="2"/>
      </rPr>
      <t xml:space="preserve">를 </t>
    </r>
    <r>
      <rPr>
        <sz val="11"/>
        <color rgb="FF000000"/>
        <rFont val="Calibri"/>
        <family val="2"/>
        <charset val="1"/>
      </rPr>
      <t xml:space="preserve">main_side/scene/routing_zones_links.xlsx </t>
    </r>
    <r>
      <rPr>
        <sz val="11"/>
        <color rgb="FF000000"/>
        <rFont val="Noto Sans CJK SC"/>
        <family val="2"/>
      </rPr>
      <t xml:space="preserve">위치로 저장</t>
    </r>
  </si>
  <si>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Noto Sans CJK SC"/>
        <family val="2"/>
      </rPr>
      <t xml:space="preserve">별도 </t>
    </r>
    <r>
      <rPr>
        <sz val="11"/>
        <color rgb="FF000000"/>
        <rFont val="Calibri"/>
        <family val="2"/>
        <charset val="1"/>
      </rPr>
      <t xml:space="preserve">import </t>
    </r>
    <r>
      <rPr>
        <sz val="11"/>
        <color rgb="FF000000"/>
        <rFont val="Noto Sans CJK SC"/>
        <family val="2"/>
      </rPr>
      <t xml:space="preserve">스크립트</t>
    </r>
    <r>
      <rPr>
        <sz val="11"/>
        <color rgb="FF000000"/>
        <rFont val="Calibri"/>
        <family val="2"/>
        <charset val="1"/>
      </rPr>
      <t xml:space="preserve">(load_routing_links.py </t>
    </r>
    <r>
      <rPr>
        <sz val="11"/>
        <color rgb="FF000000"/>
        <rFont val="Noto Sans CJK SC"/>
        <family val="2"/>
      </rPr>
      <t xml:space="preserve">예정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CJK SC"/>
        <family val="2"/>
      </rPr>
      <t xml:space="preserve">가 </t>
    </r>
    <r>
      <rPr>
        <sz val="11"/>
        <color rgb="FF000000"/>
        <rFont val="Calibri"/>
        <family val="2"/>
        <charset val="1"/>
      </rPr>
      <t xml:space="preserve">Enabled=Y </t>
    </r>
    <r>
      <rPr>
        <sz val="11"/>
        <color rgb="FF000000"/>
        <rFont val="Noto Sans CJK SC"/>
        <family val="2"/>
      </rPr>
      <t xml:space="preserve">만 </t>
    </r>
    <r>
      <rPr>
        <sz val="11"/>
        <color rgb="FF000000"/>
        <rFont val="Calibri"/>
        <family val="2"/>
        <charset val="1"/>
      </rPr>
      <t xml:space="preserve">ZoneRouter </t>
    </r>
    <r>
      <rPr>
        <sz val="11"/>
        <color rgb="FF000000"/>
        <rFont val="Noto Sans CJK SC"/>
        <family val="2"/>
      </rPr>
      <t xml:space="preserve">그래프 </t>
    </r>
    <r>
      <rPr>
        <sz val="11"/>
        <color rgb="FF000000"/>
        <rFont val="Calibri"/>
        <family val="2"/>
        <charset val="1"/>
      </rPr>
      <t xml:space="preserve">edge </t>
    </r>
    <r>
      <rPr>
        <sz val="11"/>
        <color rgb="FF000000"/>
        <rFont val="Noto Sans CJK SC"/>
        <family val="2"/>
      </rPr>
      <t xml:space="preserve">로 등록</t>
    </r>
  </si>
  <si>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Noto Sans CJK SC"/>
        <family val="2"/>
      </rPr>
      <t xml:space="preserve">양방향 행 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CJK SC"/>
        <family val="2"/>
      </rPr>
      <t xml:space="preserve">개 </t>
    </r>
    <r>
      <rPr>
        <sz val="11"/>
        <color rgb="FF000000"/>
        <rFont val="Calibri"/>
        <family val="2"/>
        <charset val="1"/>
      </rPr>
      <t xml:space="preserve">= edge 2</t>
    </r>
    <r>
      <rPr>
        <sz val="11"/>
        <color rgb="FF000000"/>
        <rFont val="Noto Sans CJK SC"/>
        <family val="2"/>
      </rPr>
      <t xml:space="preserve">개 </t>
    </r>
    <r>
      <rPr>
        <sz val="11"/>
        <color rgb="FF000000"/>
        <rFont val="Calibri"/>
        <family val="2"/>
        <charset val="1"/>
      </rPr>
      <t xml:space="preserve">(A→B, B→A)</t>
    </r>
  </si>
  <si>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Noto Sans CJK SC"/>
        <family val="2"/>
      </rPr>
      <t xml:space="preserve">현재 </t>
    </r>
    <r>
      <rPr>
        <sz val="11"/>
        <color rgb="FF000000"/>
        <rFont val="Calibri"/>
        <family val="2"/>
        <charset val="1"/>
      </rPr>
      <t xml:space="preserve">zone_router </t>
    </r>
    <r>
      <rPr>
        <sz val="11"/>
        <color rgb="FF000000"/>
        <rFont val="Noto Sans CJK SC"/>
        <family val="2"/>
      </rPr>
      <t xml:space="preserve">의 </t>
    </r>
    <r>
      <rPr>
        <sz val="11"/>
        <color rgb="FF000000"/>
        <rFont val="Calibri"/>
        <family val="2"/>
        <charset val="1"/>
      </rPr>
      <t xml:space="preserve">max_edge_m=10m </t>
    </r>
    <r>
      <rPr>
        <sz val="11"/>
        <color rgb="FF000000"/>
        <rFont val="Noto Sans CJK SC"/>
        <family val="2"/>
      </rPr>
      <t xml:space="preserve">자동 인접 로직은 이 명시 링크가 채워지면 비활성화 예정</t>
    </r>
  </si>
  <si>
    <r>
      <rPr>
        <sz val="11"/>
        <color rgb="FF000000"/>
        <rFont val="Calibri"/>
        <family val="2"/>
        <charset val="1"/>
      </rPr>
      <t xml:space="preserve">- ΔZ </t>
    </r>
    <r>
      <rPr>
        <sz val="11"/>
        <color rgb="FF000000"/>
        <rFont val="Noto Sans CJK SC"/>
        <family val="2"/>
      </rPr>
      <t xml:space="preserve">큰 링크</t>
    </r>
    <r>
      <rPr>
        <sz val="11"/>
        <color rgb="FF000000"/>
        <rFont val="Calibri"/>
        <family val="2"/>
        <charset val="1"/>
      </rPr>
      <t xml:space="preserve">(&gt;3m) </t>
    </r>
    <r>
      <rPr>
        <sz val="11"/>
        <color rgb="FF000000"/>
        <rFont val="Noto Sans CJK SC"/>
        <family val="2"/>
      </rPr>
      <t xml:space="preserve">는 비용 가중치 후처리 가능 — </t>
    </r>
    <r>
      <rPr>
        <sz val="11"/>
        <color rgb="FF000000"/>
        <rFont val="Calibri"/>
        <family val="2"/>
        <charset val="1"/>
      </rPr>
      <t xml:space="preserve">Notes </t>
    </r>
    <r>
      <rPr>
        <sz val="11"/>
        <color rgb="FF000000"/>
        <rFont val="Noto Sans CJK SC"/>
        <family val="2"/>
      </rPr>
      <t xml:space="preserve">에 표시 권장</t>
    </r>
  </si>
  <si>
    <r>
      <rPr>
        <sz val="11"/>
        <color rgb="FF000000"/>
        <rFont val="Noto Sans CJK SC"/>
        <family val="2"/>
      </rPr>
      <t xml:space="preserve">좌표 단위</t>
    </r>
    <r>
      <rPr>
        <sz val="11"/>
        <color rgb="FF000000"/>
        <rFont val="Calibri"/>
        <family val="2"/>
        <charset val="1"/>
      </rPr>
      <t xml:space="preserve">: m (USD world transform), Y=North, X=East, Z=Up</t>
    </r>
  </si>
  <si>
    <r>
      <rPr>
        <sz val="11"/>
        <color rgb="FF000000"/>
        <rFont val="Noto Sans CJK SC"/>
        <family val="2"/>
      </rPr>
      <t xml:space="preserve">총 </t>
    </r>
    <r>
      <rPr>
        <sz val="11"/>
        <color rgb="FF000000"/>
        <rFont val="Calibri"/>
        <family val="2"/>
        <charset val="1"/>
      </rPr>
      <t xml:space="preserve">zone: 34</t>
    </r>
    <r>
      <rPr>
        <sz val="11"/>
        <color rgb="FF000000"/>
        <rFont val="Noto Sans CJK SC"/>
        <family val="2"/>
      </rPr>
      <t xml:space="preserve">개 </t>
    </r>
    <r>
      <rPr>
        <sz val="11"/>
        <color rgb="FF000000"/>
        <rFont val="Calibri"/>
        <family val="2"/>
        <charset val="1"/>
      </rPr>
      <t xml:space="preserve">| </t>
    </r>
    <r>
      <rPr>
        <sz val="11"/>
        <color rgb="FF000000"/>
        <rFont val="Noto Sans CJK SC"/>
        <family val="2"/>
      </rPr>
      <t xml:space="preserve">생성일</t>
    </r>
    <r>
      <rPr>
        <sz val="11"/>
        <color rgb="FF000000"/>
        <rFont val="Calibri"/>
        <family val="2"/>
        <charset val="1"/>
      </rPr>
      <t xml:space="preserve">: 2026-05-26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</si>
</sst>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Noto Sans CJK SC"/>
      <family val="2"/>
    </font>
    <font>
      <sz val="11"/>
      <color rgb="FF000000"/>
      <name val="Calibri"/>
      <family val="2"/>
    </font>
    <font>
      <sz val="11"/>
      <color rgb="FF000000"/>
      <name val="Noto Sans CJK SC"/>
      <family val="2"/>
    </font>
    <font>
      <b val="true"/>
      <sz val="14"/>
      <name val="Cambria"/>
      <family val="0"/>
      <charset val="1"/>
    </font>
    <font>
      <b val="true"/>
      <sz val="14"/>
      <name val="Noto Sans CJK SC"/>
      <family val="2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FEFE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EFE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2" t="s">
        <v>6</v>
      </c>
      <c r="C2" s="2" t="n">
        <v>194.56</v>
      </c>
      <c r="D2" s="2" t="n">
        <v>837.7</v>
      </c>
      <c r="E2" s="2" t="n">
        <v>5.02</v>
      </c>
      <c r="F2" s="2"/>
    </row>
    <row r="3" customFormat="false" ht="15" hidden="false" customHeight="false" outlineLevel="0" collapsed="false">
      <c r="A3" s="2" t="n">
        <v>2</v>
      </c>
      <c r="B3" s="2" t="s">
        <v>7</v>
      </c>
      <c r="C3" s="2" t="n">
        <v>194.53</v>
      </c>
      <c r="D3" s="2" t="n">
        <v>844.47</v>
      </c>
      <c r="E3" s="2" t="n">
        <v>5</v>
      </c>
      <c r="F3" s="2"/>
    </row>
    <row r="4" customFormat="false" ht="15" hidden="false" customHeight="false" outlineLevel="0" collapsed="false">
      <c r="A4" s="2" t="n">
        <v>3</v>
      </c>
      <c r="B4" s="2" t="s">
        <v>8</v>
      </c>
      <c r="C4" s="2" t="n">
        <v>194.27</v>
      </c>
      <c r="D4" s="2" t="n">
        <v>854.82</v>
      </c>
      <c r="E4" s="2" t="n">
        <v>4.91</v>
      </c>
      <c r="F4" s="2"/>
    </row>
    <row r="5" customFormat="false" ht="15" hidden="false" customHeight="false" outlineLevel="0" collapsed="false">
      <c r="A5" s="2" t="n">
        <v>4</v>
      </c>
      <c r="B5" s="2" t="s">
        <v>9</v>
      </c>
      <c r="C5" s="2" t="n">
        <v>193.69</v>
      </c>
      <c r="D5" s="2" t="n">
        <v>866.91</v>
      </c>
      <c r="E5" s="2" t="n">
        <v>4.81</v>
      </c>
      <c r="F5" s="2"/>
    </row>
    <row r="6" customFormat="false" ht="15" hidden="false" customHeight="false" outlineLevel="0" collapsed="false">
      <c r="A6" s="2" t="n">
        <v>5</v>
      </c>
      <c r="B6" s="2" t="s">
        <v>10</v>
      </c>
      <c r="C6" s="2" t="n">
        <v>197.58</v>
      </c>
      <c r="D6" s="2" t="n">
        <v>881.94</v>
      </c>
      <c r="E6" s="2" t="n">
        <v>4.58</v>
      </c>
      <c r="F6" s="2"/>
    </row>
    <row r="7" customFormat="false" ht="15" hidden="false" customHeight="false" outlineLevel="0" collapsed="false">
      <c r="A7" s="2" t="n">
        <v>6</v>
      </c>
      <c r="B7" s="2" t="s">
        <v>11</v>
      </c>
      <c r="C7" s="2" t="n">
        <v>205.73</v>
      </c>
      <c r="D7" s="2" t="n">
        <v>892.9</v>
      </c>
      <c r="E7" s="2" t="n">
        <v>4.48</v>
      </c>
      <c r="F7" s="2"/>
    </row>
    <row r="8" customFormat="false" ht="15" hidden="false" customHeight="false" outlineLevel="0" collapsed="false">
      <c r="A8" s="2" t="n">
        <v>7</v>
      </c>
      <c r="B8" s="2" t="s">
        <v>12</v>
      </c>
      <c r="C8" s="2" t="n">
        <v>194.56</v>
      </c>
      <c r="D8" s="2" t="n">
        <v>892.78</v>
      </c>
      <c r="E8" s="2" t="n">
        <v>4.52</v>
      </c>
      <c r="F8" s="2"/>
    </row>
    <row r="9" customFormat="false" ht="15" hidden="false" customHeight="false" outlineLevel="0" collapsed="false">
      <c r="A9" s="2" t="n">
        <v>8</v>
      </c>
      <c r="B9" s="2" t="s">
        <v>13</v>
      </c>
      <c r="C9" s="2" t="n">
        <v>186.55</v>
      </c>
      <c r="D9" s="2" t="n">
        <v>892.65</v>
      </c>
      <c r="E9" s="2" t="n">
        <v>4.59</v>
      </c>
      <c r="F9" s="2"/>
    </row>
    <row r="10" customFormat="false" ht="15" hidden="false" customHeight="false" outlineLevel="0" collapsed="false">
      <c r="A10" s="2" t="n">
        <v>9</v>
      </c>
      <c r="B10" s="2" t="s">
        <v>14</v>
      </c>
      <c r="C10" s="2" t="n">
        <v>177.32</v>
      </c>
      <c r="D10" s="2" t="n">
        <v>892.32</v>
      </c>
      <c r="E10" s="2" t="n">
        <v>4.72</v>
      </c>
      <c r="F10" s="2"/>
    </row>
    <row r="11" customFormat="false" ht="15" hidden="false" customHeight="false" outlineLevel="0" collapsed="false">
      <c r="A11" s="2" t="n">
        <v>10</v>
      </c>
      <c r="B11" s="2" t="s">
        <v>15</v>
      </c>
      <c r="C11" s="2" t="n">
        <v>170.43</v>
      </c>
      <c r="D11" s="2" t="n">
        <v>891.91</v>
      </c>
      <c r="E11" s="2" t="n">
        <v>4.79</v>
      </c>
      <c r="F11" s="2"/>
    </row>
    <row r="12" customFormat="false" ht="15" hidden="false" customHeight="false" outlineLevel="0" collapsed="false">
      <c r="A12" s="2" t="n">
        <v>11</v>
      </c>
      <c r="B12" s="2" t="s">
        <v>16</v>
      </c>
      <c r="C12" s="2" t="n">
        <v>168.39</v>
      </c>
      <c r="D12" s="2" t="n">
        <v>897.2</v>
      </c>
      <c r="E12" s="2" t="n">
        <v>4.72</v>
      </c>
      <c r="F12" s="2"/>
    </row>
    <row r="13" customFormat="false" ht="15" hidden="false" customHeight="false" outlineLevel="0" collapsed="false">
      <c r="A13" s="2" t="n">
        <v>12</v>
      </c>
      <c r="B13" s="2" t="s">
        <v>17</v>
      </c>
      <c r="C13" s="2" t="n">
        <v>214.33</v>
      </c>
      <c r="D13" s="2" t="n">
        <v>893.07</v>
      </c>
      <c r="E13" s="2" t="n">
        <v>4.44</v>
      </c>
      <c r="F13" s="2"/>
    </row>
    <row r="14" customFormat="false" ht="15" hidden="false" customHeight="false" outlineLevel="0" collapsed="false">
      <c r="A14" s="2" t="n">
        <v>13</v>
      </c>
      <c r="B14" s="2" t="s">
        <v>18</v>
      </c>
      <c r="C14" s="2" t="n">
        <v>222.81</v>
      </c>
      <c r="D14" s="2" t="n">
        <v>893.41</v>
      </c>
      <c r="E14" s="2" t="n">
        <v>4.42</v>
      </c>
      <c r="F14" s="2"/>
    </row>
    <row r="15" customFormat="false" ht="15" hidden="false" customHeight="false" outlineLevel="0" collapsed="false">
      <c r="A15" s="2" t="n">
        <v>14</v>
      </c>
      <c r="B15" s="2" t="s">
        <v>19</v>
      </c>
      <c r="C15" s="2" t="n">
        <v>234.54</v>
      </c>
      <c r="D15" s="2" t="n">
        <v>896.1</v>
      </c>
      <c r="E15" s="2" t="n">
        <v>5.02</v>
      </c>
      <c r="F15" s="2"/>
    </row>
    <row r="16" customFormat="false" ht="15" hidden="false" customHeight="false" outlineLevel="0" collapsed="false">
      <c r="A16" s="2" t="n">
        <v>15</v>
      </c>
      <c r="B16" s="2" t="s">
        <v>20</v>
      </c>
      <c r="C16" s="2" t="n">
        <v>244.13</v>
      </c>
      <c r="D16" s="2" t="n">
        <v>895.83</v>
      </c>
      <c r="E16" s="2" t="n">
        <v>7.21</v>
      </c>
      <c r="F16" s="2"/>
    </row>
    <row r="17" customFormat="false" ht="15" hidden="false" customHeight="false" outlineLevel="0" collapsed="false">
      <c r="A17" s="2" t="n">
        <v>16</v>
      </c>
      <c r="B17" s="2" t="s">
        <v>21</v>
      </c>
      <c r="C17" s="2" t="n">
        <v>250.56</v>
      </c>
      <c r="D17" s="2" t="n">
        <v>892.45</v>
      </c>
      <c r="E17" s="2" t="n">
        <v>10.1</v>
      </c>
      <c r="F17" s="2"/>
    </row>
    <row r="18" customFormat="false" ht="15" hidden="false" customHeight="false" outlineLevel="0" collapsed="false">
      <c r="A18" s="2" t="n">
        <v>17</v>
      </c>
      <c r="B18" s="2" t="s">
        <v>22</v>
      </c>
      <c r="C18" s="2" t="n">
        <v>258.72</v>
      </c>
      <c r="D18" s="2" t="n">
        <v>895.85</v>
      </c>
      <c r="E18" s="2" t="n">
        <v>12.13</v>
      </c>
      <c r="F18" s="2"/>
    </row>
    <row r="19" customFormat="false" ht="15" hidden="false" customHeight="false" outlineLevel="0" collapsed="false">
      <c r="A19" s="2" t="n">
        <v>18</v>
      </c>
      <c r="B19" s="2" t="s">
        <v>23</v>
      </c>
      <c r="C19" s="2" t="n">
        <v>256.92</v>
      </c>
      <c r="D19" s="2" t="n">
        <v>890.02</v>
      </c>
      <c r="E19" s="2" t="n">
        <v>12.5</v>
      </c>
      <c r="F19" s="2"/>
    </row>
    <row r="20" customFormat="false" ht="15" hidden="false" customHeight="false" outlineLevel="0" collapsed="false">
      <c r="A20" s="2" t="n">
        <v>19</v>
      </c>
      <c r="B20" s="2" t="s">
        <v>24</v>
      </c>
      <c r="C20" s="2" t="n">
        <v>264.08</v>
      </c>
      <c r="D20" s="2" t="n">
        <v>886.83</v>
      </c>
      <c r="E20" s="2" t="n">
        <v>15.21</v>
      </c>
      <c r="F20" s="2"/>
    </row>
    <row r="21" customFormat="false" ht="15" hidden="false" customHeight="false" outlineLevel="0" collapsed="false">
      <c r="A21" s="2" t="n">
        <v>20</v>
      </c>
      <c r="B21" s="2" t="s">
        <v>25</v>
      </c>
      <c r="C21" s="2" t="n">
        <v>270.72</v>
      </c>
      <c r="D21" s="2" t="n">
        <v>885.18</v>
      </c>
      <c r="E21" s="2" t="n">
        <v>17.19</v>
      </c>
      <c r="F21" s="2"/>
    </row>
    <row r="22" customFormat="false" ht="15" hidden="false" customHeight="false" outlineLevel="0" collapsed="false">
      <c r="A22" s="2" t="n">
        <v>21</v>
      </c>
      <c r="B22" s="2" t="s">
        <v>26</v>
      </c>
      <c r="C22" s="2" t="n">
        <v>278.28</v>
      </c>
      <c r="D22" s="2" t="n">
        <v>885.48</v>
      </c>
      <c r="E22" s="2" t="n">
        <v>18.83</v>
      </c>
      <c r="F22" s="2"/>
    </row>
    <row r="23" customFormat="false" ht="15" hidden="false" customHeight="false" outlineLevel="0" collapsed="false">
      <c r="A23" s="2" t="n">
        <v>22</v>
      </c>
      <c r="B23" s="2" t="s">
        <v>27</v>
      </c>
      <c r="C23" s="2" t="n">
        <v>288.62</v>
      </c>
      <c r="D23" s="2" t="n">
        <v>888.64</v>
      </c>
      <c r="E23" s="2" t="n">
        <v>20.59</v>
      </c>
      <c r="F23" s="2"/>
    </row>
    <row r="24" customFormat="false" ht="15" hidden="false" customHeight="false" outlineLevel="0" collapsed="false">
      <c r="A24" s="2" t="n">
        <v>23</v>
      </c>
      <c r="B24" s="2" t="s">
        <v>28</v>
      </c>
      <c r="C24" s="2" t="n">
        <v>300.16</v>
      </c>
      <c r="D24" s="2" t="n">
        <v>892.05</v>
      </c>
      <c r="E24" s="2" t="n">
        <v>22.37</v>
      </c>
      <c r="F24" s="2"/>
    </row>
    <row r="25" customFormat="false" ht="15" hidden="false" customHeight="false" outlineLevel="0" collapsed="false">
      <c r="A25" s="2" t="n">
        <v>24</v>
      </c>
      <c r="B25" s="2" t="s">
        <v>29</v>
      </c>
      <c r="C25" s="2" t="n">
        <v>311.36</v>
      </c>
      <c r="D25" s="2" t="n">
        <v>894.2</v>
      </c>
      <c r="E25" s="2" t="n">
        <v>24.64</v>
      </c>
      <c r="F25" s="2"/>
    </row>
    <row r="26" customFormat="false" ht="15" hidden="false" customHeight="false" outlineLevel="0" collapsed="false">
      <c r="A26" s="2" t="n">
        <v>25</v>
      </c>
      <c r="B26" s="2" t="s">
        <v>30</v>
      </c>
      <c r="C26" s="2" t="n">
        <v>315.57</v>
      </c>
      <c r="D26" s="2" t="n">
        <v>894.31</v>
      </c>
      <c r="E26" s="2" t="n">
        <v>25.69</v>
      </c>
      <c r="F26" s="2"/>
    </row>
    <row r="27" customFormat="false" ht="15" hidden="false" customHeight="false" outlineLevel="0" collapsed="false">
      <c r="A27" s="2" t="n">
        <v>26</v>
      </c>
      <c r="B27" s="2" t="s">
        <v>31</v>
      </c>
      <c r="C27" s="2" t="n">
        <v>263.85</v>
      </c>
      <c r="D27" s="2" t="n">
        <v>894.37</v>
      </c>
      <c r="E27" s="2" t="n">
        <v>14.25</v>
      </c>
      <c r="F27" s="2"/>
    </row>
    <row r="28" customFormat="false" ht="15" hidden="false" customHeight="false" outlineLevel="0" collapsed="false">
      <c r="A28" s="2" t="n">
        <v>27</v>
      </c>
      <c r="B28" s="2" t="s">
        <v>32</v>
      </c>
      <c r="C28" s="2" t="n">
        <v>269.53</v>
      </c>
      <c r="D28" s="2" t="n">
        <v>893.04</v>
      </c>
      <c r="E28" s="2" t="n">
        <v>16.29</v>
      </c>
      <c r="F28" s="2"/>
    </row>
    <row r="29" customFormat="false" ht="15" hidden="false" customHeight="false" outlineLevel="0" collapsed="false">
      <c r="A29" s="2" t="n">
        <v>28</v>
      </c>
      <c r="B29" s="2" t="s">
        <v>33</v>
      </c>
      <c r="C29" s="2" t="n">
        <v>274.11</v>
      </c>
      <c r="D29" s="2" t="n">
        <v>892.6</v>
      </c>
      <c r="E29" s="2" t="n">
        <v>17.67</v>
      </c>
      <c r="F29" s="2"/>
    </row>
    <row r="30" customFormat="false" ht="15" hidden="false" customHeight="false" outlineLevel="0" collapsed="false">
      <c r="A30" s="2" t="n">
        <v>29</v>
      </c>
      <c r="B30" s="2" t="s">
        <v>34</v>
      </c>
      <c r="C30" s="2" t="n">
        <v>279.12</v>
      </c>
      <c r="D30" s="2" t="n">
        <v>894</v>
      </c>
      <c r="E30" s="2" t="n">
        <v>18.84</v>
      </c>
      <c r="F30" s="2"/>
    </row>
    <row r="31" customFormat="false" ht="15" hidden="false" customHeight="false" outlineLevel="0" collapsed="false">
      <c r="A31" s="2" t="n">
        <v>30</v>
      </c>
      <c r="B31" s="2" t="s">
        <v>35</v>
      </c>
      <c r="C31" s="2" t="n">
        <v>283.66</v>
      </c>
      <c r="D31" s="2" t="n">
        <v>899.47</v>
      </c>
      <c r="E31" s="2" t="n">
        <v>19.17</v>
      </c>
      <c r="F31" s="2"/>
    </row>
    <row r="32" customFormat="false" ht="15" hidden="false" customHeight="false" outlineLevel="0" collapsed="false">
      <c r="A32" s="2" t="n">
        <v>31</v>
      </c>
      <c r="B32" s="2" t="s">
        <v>36</v>
      </c>
      <c r="C32" s="2" t="n">
        <v>287.95</v>
      </c>
      <c r="D32" s="2" t="n">
        <v>905.27</v>
      </c>
      <c r="E32" s="2" t="n">
        <v>19.45</v>
      </c>
      <c r="F32" s="2"/>
    </row>
    <row r="33" customFormat="false" ht="15" hidden="false" customHeight="false" outlineLevel="0" collapsed="false">
      <c r="A33" s="2" t="n">
        <v>32</v>
      </c>
      <c r="B33" s="2" t="s">
        <v>37</v>
      </c>
      <c r="C33" s="2" t="n">
        <v>290.93</v>
      </c>
      <c r="D33" s="2" t="n">
        <v>907.07</v>
      </c>
      <c r="E33" s="2" t="n">
        <v>19.89</v>
      </c>
      <c r="F33" s="2"/>
    </row>
    <row r="34" customFormat="false" ht="15" hidden="false" customHeight="false" outlineLevel="0" collapsed="false">
      <c r="A34" s="2" t="n">
        <v>33</v>
      </c>
      <c r="B34" s="2" t="s">
        <v>38</v>
      </c>
      <c r="C34" s="2" t="n">
        <v>294.29</v>
      </c>
      <c r="D34" s="2" t="n">
        <v>908.86</v>
      </c>
      <c r="E34" s="2" t="n">
        <v>20.44</v>
      </c>
      <c r="F34" s="2"/>
    </row>
    <row r="35" customFormat="false" ht="15" hidden="false" customHeight="false" outlineLevel="0" collapsed="false">
      <c r="A35" s="2" t="n">
        <v>34</v>
      </c>
      <c r="B35" s="2" t="s">
        <v>39</v>
      </c>
      <c r="C35" s="2" t="n">
        <v>297.68</v>
      </c>
      <c r="D35" s="2" t="n">
        <v>910.02</v>
      </c>
      <c r="E35" s="2" t="n">
        <v>21.06</v>
      </c>
      <c r="F3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36" activeCellId="0" sqref="E36"/>
    </sheetView>
  </sheetViews>
  <sheetFormatPr defaultColWidth="8.5390625" defaultRowHeight="13.8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8" min="6" style="0" width="10"/>
    <col collapsed="false" customWidth="true" hidden="false" outlineLevel="0" max="9" min="9" style="0" width="28"/>
  </cols>
  <sheetData>
    <row r="1" customFormat="false" ht="17.15" hidden="false" customHeight="false" outlineLevel="0" collapsed="false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5</v>
      </c>
    </row>
    <row r="2" customFormat="false" ht="13.8" hidden="false" customHeight="false" outlineLevel="0" collapsed="false">
      <c r="A2" s="2" t="s">
        <v>7</v>
      </c>
      <c r="B2" s="3" t="s">
        <v>8</v>
      </c>
      <c r="C2" s="3" t="s">
        <v>3</v>
      </c>
      <c r="D2" s="3" t="s">
        <v>3</v>
      </c>
      <c r="E2" s="4" t="n">
        <f aca="false">IFERROR(ROUND(SQRT((VLOOKUP(A2,Zones!$B$2:$E$35,2,FALSE())-VLOOKUP(B2,Zones!$B$2:$E$35,2,FALSE()))^2+(VLOOKUP(A2,Zones!$B$2:$E$35,3,FALSE())-VLOOKUP(B2,Zones!$B$2:$E$35,3,FALSE()))^2+(VLOOKUP(A2,Zones!$B$2:$E$35,4,FALSE())-VLOOKUP(B2,Zones!$B$2:$E$35,4,FALSE()))^2),2),"")</f>
        <v>10.35</v>
      </c>
      <c r="F2" s="4" t="n">
        <f aca="false">IFERROR(VLOOKUP(A2,Zones!$B$2:$E$35,4,FALSE()),"")</f>
        <v>5</v>
      </c>
      <c r="G2" s="4" t="n">
        <f aca="false">IFERROR(VLOOKUP(B2,Zones!$B$2:$E$35,4,FALSE()),"")</f>
        <v>4.91</v>
      </c>
      <c r="H2" s="4" t="n">
        <f aca="false">IFERROR(G2-F2,"")</f>
        <v>-0.0899999999999999</v>
      </c>
      <c r="I2" s="2"/>
      <c r="K2" s="2"/>
    </row>
    <row r="3" customFormat="false" ht="13.8" hidden="false" customHeight="false" outlineLevel="0" collapsed="false">
      <c r="A3" s="3" t="s">
        <v>8</v>
      </c>
      <c r="B3" s="3" t="s">
        <v>9</v>
      </c>
      <c r="C3" s="3" t="s">
        <v>3</v>
      </c>
      <c r="D3" s="3" t="s">
        <v>3</v>
      </c>
      <c r="E3" s="4" t="n">
        <f aca="false">IFERROR(ROUND(SQRT((VLOOKUP(A3,Zones!$B$2:$E$35,2,FALSE())-VLOOKUP(B3,Zones!$B$2:$E$35,2,FALSE()))^2+(VLOOKUP(A3,Zones!$B$2:$E$35,3,FALSE())-VLOOKUP(B3,Zones!$B$2:$E$35,3,FALSE()))^2+(VLOOKUP(A3,Zones!$B$2:$E$35,4,FALSE())-VLOOKUP(B3,Zones!$B$2:$E$35,4,FALSE()))^2),2),"")</f>
        <v>12.1</v>
      </c>
      <c r="F3" s="4" t="n">
        <f aca="false">IFERROR(VLOOKUP(A3,Zones!$B$2:$E$35,4,FALSE()),"")</f>
        <v>4.91</v>
      </c>
      <c r="G3" s="4" t="n">
        <f aca="false">IFERROR(VLOOKUP(B3,Zones!$B$2:$E$35,4,FALSE()),"")</f>
        <v>4.81</v>
      </c>
      <c r="H3" s="4" t="n">
        <f aca="false">IFERROR(G3-F3,"")</f>
        <v>-0.100000000000001</v>
      </c>
      <c r="I3" s="2"/>
      <c r="K3" s="2"/>
    </row>
    <row r="4" customFormat="false" ht="13.8" hidden="false" customHeight="false" outlineLevel="0" collapsed="false">
      <c r="A4" s="3" t="s">
        <v>9</v>
      </c>
      <c r="B4" s="3" t="s">
        <v>10</v>
      </c>
      <c r="C4" s="3" t="s">
        <v>3</v>
      </c>
      <c r="D4" s="3" t="s">
        <v>3</v>
      </c>
      <c r="E4" s="4" t="n">
        <f aca="false">IFERROR(ROUND(SQRT((VLOOKUP(A4,Zones!$B$2:$E$35,2,FALSE())-VLOOKUP(B4,Zones!$B$2:$E$35,2,FALSE()))^2+(VLOOKUP(A4,Zones!$B$2:$E$35,3,FALSE())-VLOOKUP(B4,Zones!$B$2:$E$35,3,FALSE()))^2+(VLOOKUP(A4,Zones!$B$2:$E$35,4,FALSE())-VLOOKUP(B4,Zones!$B$2:$E$35,4,FALSE()))^2),2),"")</f>
        <v>15.53</v>
      </c>
      <c r="F4" s="4" t="n">
        <f aca="false">IFERROR(VLOOKUP(A4,Zones!$B$2:$E$35,4,FALSE()),"")</f>
        <v>4.81</v>
      </c>
      <c r="G4" s="4" t="n">
        <f aca="false">IFERROR(VLOOKUP(B4,Zones!$B$2:$E$35,4,FALSE()),"")</f>
        <v>4.58</v>
      </c>
      <c r="H4" s="4" t="n">
        <f aca="false">IFERROR(G4-F4,"")</f>
        <v>-0.23</v>
      </c>
      <c r="I4" s="2"/>
      <c r="K4" s="2"/>
    </row>
    <row r="5" customFormat="false" ht="13.8" hidden="false" customHeight="false" outlineLevel="0" collapsed="false">
      <c r="A5" s="3" t="s">
        <v>10</v>
      </c>
      <c r="B5" s="3" t="s">
        <v>11</v>
      </c>
      <c r="C5" s="3" t="s">
        <v>3</v>
      </c>
      <c r="D5" s="3" t="s">
        <v>3</v>
      </c>
      <c r="E5" s="4" t="n">
        <f aca="false">IFERROR(ROUND(SQRT((VLOOKUP(A5,Zones!$B$2:$E$35,2,FALSE())-VLOOKUP(B5,Zones!$B$2:$E$35,2,FALSE()))^2+(VLOOKUP(A5,Zones!$B$2:$E$35,3,FALSE())-VLOOKUP(B5,Zones!$B$2:$E$35,3,FALSE()))^2+(VLOOKUP(A5,Zones!$B$2:$E$35,4,FALSE())-VLOOKUP(B5,Zones!$B$2:$E$35,4,FALSE()))^2),2),"")</f>
        <v>13.66</v>
      </c>
      <c r="F5" s="4" t="n">
        <f aca="false">IFERROR(VLOOKUP(A5,Zones!$B$2:$E$35,4,FALSE()),"")</f>
        <v>4.58</v>
      </c>
      <c r="G5" s="4" t="n">
        <f aca="false">IFERROR(VLOOKUP(B5,Zones!$B$2:$E$35,4,FALSE()),"")</f>
        <v>4.48</v>
      </c>
      <c r="H5" s="4" t="n">
        <f aca="false">IFERROR(G5-F5,"")</f>
        <v>-0.0999999999999996</v>
      </c>
      <c r="I5" s="2"/>
      <c r="K5" s="2"/>
    </row>
    <row r="6" customFormat="false" ht="13.8" hidden="false" customHeight="false" outlineLevel="0" collapsed="false">
      <c r="A6" s="3" t="s">
        <v>10</v>
      </c>
      <c r="B6" s="3" t="s">
        <v>12</v>
      </c>
      <c r="C6" s="3" t="s">
        <v>3</v>
      </c>
      <c r="D6" s="3" t="s">
        <v>3</v>
      </c>
      <c r="E6" s="4" t="n">
        <f aca="false">IFERROR(ROUND(SQRT((VLOOKUP(A6,Zones!$B$2:$E$35,2,FALSE())-VLOOKUP(B6,Zones!$B$2:$E$35,2,FALSE()))^2+(VLOOKUP(A6,Zones!$B$2:$E$35,3,FALSE())-VLOOKUP(B6,Zones!$B$2:$E$35,3,FALSE()))^2+(VLOOKUP(A6,Zones!$B$2:$E$35,4,FALSE())-VLOOKUP(B6,Zones!$B$2:$E$35,4,FALSE()))^2),2),"")</f>
        <v>11.25</v>
      </c>
      <c r="F6" s="4" t="n">
        <f aca="false">IFERROR(VLOOKUP(A6,Zones!$B$2:$E$35,4,FALSE()),"")</f>
        <v>4.58</v>
      </c>
      <c r="G6" s="4" t="n">
        <f aca="false">IFERROR(VLOOKUP(B6,Zones!$B$2:$E$35,4,FALSE()),"")</f>
        <v>4.52</v>
      </c>
      <c r="H6" s="4" t="n">
        <f aca="false">IFERROR(G6-F6,"")</f>
        <v>-0.0600000000000005</v>
      </c>
      <c r="I6" s="2"/>
      <c r="K6" s="2"/>
    </row>
    <row r="7" customFormat="false" ht="13.8" hidden="false" customHeight="false" outlineLevel="0" collapsed="false">
      <c r="A7" s="3" t="s">
        <v>12</v>
      </c>
      <c r="B7" s="3" t="s">
        <v>13</v>
      </c>
      <c r="C7" s="3" t="s">
        <v>3</v>
      </c>
      <c r="D7" s="3" t="s">
        <v>3</v>
      </c>
      <c r="E7" s="4" t="n">
        <f aca="false">IFERROR(ROUND(SQRT((VLOOKUP(A7,Zones!$B$2:$E$35,2,FALSE())-VLOOKUP(B7,Zones!$B$2:$E$35,2,FALSE()))^2+(VLOOKUP(A7,Zones!$B$2:$E$35,3,FALSE())-VLOOKUP(B7,Zones!$B$2:$E$35,3,FALSE()))^2+(VLOOKUP(A7,Zones!$B$2:$E$35,4,FALSE())-VLOOKUP(B7,Zones!$B$2:$E$35,4,FALSE()))^2),2),"")</f>
        <v>8.01</v>
      </c>
      <c r="F7" s="4" t="n">
        <f aca="false">IFERROR(VLOOKUP(A7,Zones!$B$2:$E$35,4,FALSE()),"")</f>
        <v>4.52</v>
      </c>
      <c r="G7" s="4" t="n">
        <f aca="false">IFERROR(VLOOKUP(B7,Zones!$B$2:$E$35,4,FALSE()),"")</f>
        <v>4.59</v>
      </c>
      <c r="H7" s="4" t="n">
        <f aca="false">IFERROR(G7-F7,"")</f>
        <v>0.0700000000000003</v>
      </c>
      <c r="I7" s="2"/>
      <c r="K7" s="2"/>
    </row>
    <row r="8" customFormat="false" ht="13.8" hidden="false" customHeight="false" outlineLevel="0" collapsed="false">
      <c r="A8" s="3" t="s">
        <v>11</v>
      </c>
      <c r="B8" s="3" t="s">
        <v>12</v>
      </c>
      <c r="C8" s="3" t="s">
        <v>3</v>
      </c>
      <c r="D8" s="3" t="s">
        <v>3</v>
      </c>
      <c r="E8" s="4" t="n">
        <f aca="false">IFERROR(ROUND(SQRT((VLOOKUP(A8,Zones!$B$2:$E$35,2,FALSE())-VLOOKUP(B8,Zones!$B$2:$E$35,2,FALSE()))^2+(VLOOKUP(A8,Zones!$B$2:$E$35,3,FALSE())-VLOOKUP(B8,Zones!$B$2:$E$35,3,FALSE()))^2+(VLOOKUP(A8,Zones!$B$2:$E$35,4,FALSE())-VLOOKUP(B8,Zones!$B$2:$E$35,4,FALSE()))^2),2),"")</f>
        <v>11.17</v>
      </c>
      <c r="F8" s="4" t="n">
        <f aca="false">IFERROR(VLOOKUP(A8,Zones!$B$2:$E$35,4,FALSE()),"")</f>
        <v>4.48</v>
      </c>
      <c r="G8" s="4" t="n">
        <f aca="false">IFERROR(VLOOKUP(B8,Zones!$B$2:$E$35,4,FALSE()),"")</f>
        <v>4.52</v>
      </c>
      <c r="H8" s="4" t="n">
        <f aca="false">IFERROR(G8-F8,"")</f>
        <v>0.0399999999999991</v>
      </c>
      <c r="I8" s="2"/>
      <c r="K8" s="2"/>
    </row>
    <row r="9" customFormat="false" ht="13.8" hidden="false" customHeight="false" outlineLevel="0" collapsed="false">
      <c r="A9" s="3" t="s">
        <v>13</v>
      </c>
      <c r="B9" s="3" t="s">
        <v>14</v>
      </c>
      <c r="C9" s="3" t="s">
        <v>3</v>
      </c>
      <c r="D9" s="3" t="s">
        <v>3</v>
      </c>
      <c r="E9" s="4" t="n">
        <f aca="false">IFERROR(ROUND(SQRT((VLOOKUP(A9,Zones!$B$2:$E$35,2,FALSE())-VLOOKUP(B9,Zones!$B$2:$E$35,2,FALSE()))^2+(VLOOKUP(A9,Zones!$B$2:$E$35,3,FALSE())-VLOOKUP(B9,Zones!$B$2:$E$35,3,FALSE()))^2+(VLOOKUP(A9,Zones!$B$2:$E$35,4,FALSE())-VLOOKUP(B9,Zones!$B$2:$E$35,4,FALSE()))^2),2),"")</f>
        <v>9.24</v>
      </c>
      <c r="F9" s="4" t="n">
        <f aca="false">IFERROR(VLOOKUP(A9,Zones!$B$2:$E$35,4,FALSE()),"")</f>
        <v>4.59</v>
      </c>
      <c r="G9" s="4" t="n">
        <f aca="false">IFERROR(VLOOKUP(B9,Zones!$B$2:$E$35,4,FALSE()),"")</f>
        <v>4.72</v>
      </c>
      <c r="H9" s="4" t="n">
        <f aca="false">IFERROR(G9-F9,"")</f>
        <v>0.13</v>
      </c>
      <c r="I9" s="2"/>
      <c r="K9" s="2"/>
    </row>
    <row r="10" customFormat="false" ht="13.8" hidden="false" customHeight="false" outlineLevel="0" collapsed="false">
      <c r="A10" s="3" t="s">
        <v>14</v>
      </c>
      <c r="B10" s="3" t="s">
        <v>15</v>
      </c>
      <c r="C10" s="3" t="s">
        <v>3</v>
      </c>
      <c r="D10" s="3" t="s">
        <v>3</v>
      </c>
      <c r="E10" s="4" t="n">
        <f aca="false">IFERROR(ROUND(SQRT((VLOOKUP(A10,Zones!$B$2:$E$35,2,FALSE())-VLOOKUP(B10,Zones!$B$2:$E$35,2,FALSE()))^2+(VLOOKUP(A10,Zones!$B$2:$E$35,3,FALSE())-VLOOKUP(B10,Zones!$B$2:$E$35,3,FALSE()))^2+(VLOOKUP(A10,Zones!$B$2:$E$35,4,FALSE())-VLOOKUP(B10,Zones!$B$2:$E$35,4,FALSE()))^2),2),"")</f>
        <v>6.9</v>
      </c>
      <c r="F10" s="4" t="n">
        <f aca="false">IFERROR(VLOOKUP(A10,Zones!$B$2:$E$35,4,FALSE()),"")</f>
        <v>4.72</v>
      </c>
      <c r="G10" s="4" t="n">
        <f aca="false">IFERROR(VLOOKUP(B10,Zones!$B$2:$E$35,4,FALSE()),"")</f>
        <v>4.79</v>
      </c>
      <c r="H10" s="4" t="n">
        <f aca="false">IFERROR(G10-F10,"")</f>
        <v>0.0700000000000003</v>
      </c>
      <c r="I10" s="2"/>
      <c r="K10" s="2"/>
    </row>
    <row r="11" customFormat="false" ht="17.15" hidden="false" customHeight="false" outlineLevel="0" collapsed="false">
      <c r="A11" s="3" t="s">
        <v>15</v>
      </c>
      <c r="B11" s="3" t="s">
        <v>16</v>
      </c>
      <c r="C11" s="3" t="s">
        <v>3</v>
      </c>
      <c r="D11" s="3" t="s">
        <v>3</v>
      </c>
      <c r="E11" s="4" t="n">
        <f aca="false">IFERROR(ROUND(SQRT((VLOOKUP(A11,Zones!$B$2:$E$35,2,FALSE())-VLOOKUP(B11,Zones!$B$2:$E$35,2,FALSE()))^2+(VLOOKUP(A11,Zones!$B$2:$E$35,3,FALSE())-VLOOKUP(B11,Zones!$B$2:$E$35,3,FALSE()))^2+(VLOOKUP(A11,Zones!$B$2:$E$35,4,FALSE())-VLOOKUP(B11,Zones!$B$2:$E$35,4,FALSE()))^2),2),"")</f>
        <v>5.67</v>
      </c>
      <c r="F11" s="4" t="n">
        <f aca="false">IFERROR(VLOOKUP(A11,Zones!$B$2:$E$35,4,FALSE()),"")</f>
        <v>4.79</v>
      </c>
      <c r="G11" s="4" t="n">
        <f aca="false">IFERROR(VLOOKUP(B11,Zones!$B$2:$E$35,4,FALSE()),"")</f>
        <v>4.72</v>
      </c>
      <c r="H11" s="4" t="n">
        <f aca="false">IFERROR(G11-F11,"")</f>
        <v>-0.0700000000000003</v>
      </c>
      <c r="I11" s="5" t="s">
        <v>48</v>
      </c>
      <c r="K11" s="2"/>
    </row>
    <row r="12" customFormat="false" ht="13.8" hidden="false" customHeight="false" outlineLevel="0" collapsed="false">
      <c r="A12" s="3" t="s">
        <v>11</v>
      </c>
      <c r="B12" s="3" t="s">
        <v>17</v>
      </c>
      <c r="C12" s="3" t="s">
        <v>3</v>
      </c>
      <c r="D12" s="3" t="s">
        <v>3</v>
      </c>
      <c r="E12" s="4" t="n">
        <f aca="false">IFERROR(ROUND(SQRT((VLOOKUP(A12,Zones!$B$2:$E$35,2,FALSE())-VLOOKUP(B12,Zones!$B$2:$E$35,2,FALSE()))^2+(VLOOKUP(A12,Zones!$B$2:$E$35,3,FALSE())-VLOOKUP(B12,Zones!$B$2:$E$35,3,FALSE()))^2+(VLOOKUP(A12,Zones!$B$2:$E$35,4,FALSE())-VLOOKUP(B12,Zones!$B$2:$E$35,4,FALSE()))^2),2),"")</f>
        <v>8.6</v>
      </c>
      <c r="F12" s="4" t="n">
        <f aca="false">IFERROR(VLOOKUP(A12,Zones!$B$2:$E$35,4,FALSE()),"")</f>
        <v>4.48</v>
      </c>
      <c r="G12" s="4" t="n">
        <f aca="false">IFERROR(VLOOKUP(B12,Zones!$B$2:$E$35,4,FALSE()),"")</f>
        <v>4.44</v>
      </c>
      <c r="H12" s="4" t="n">
        <f aca="false">IFERROR(G12-F12,"")</f>
        <v>-0.04</v>
      </c>
      <c r="I12" s="2"/>
      <c r="K12" s="2"/>
    </row>
    <row r="13" customFormat="false" ht="13.8" hidden="false" customHeight="false" outlineLevel="0" collapsed="false">
      <c r="A13" s="3" t="s">
        <v>17</v>
      </c>
      <c r="B13" s="3" t="s">
        <v>18</v>
      </c>
      <c r="C13" s="3" t="s">
        <v>3</v>
      </c>
      <c r="D13" s="3" t="s">
        <v>3</v>
      </c>
      <c r="E13" s="4" t="n">
        <f aca="false">IFERROR(ROUND(SQRT((VLOOKUP(A13,Zones!$B$2:$E$35,2,FALSE())-VLOOKUP(B13,Zones!$B$2:$E$35,2,FALSE()))^2+(VLOOKUP(A13,Zones!$B$2:$E$35,3,FALSE())-VLOOKUP(B13,Zones!$B$2:$E$35,3,FALSE()))^2+(VLOOKUP(A13,Zones!$B$2:$E$35,4,FALSE())-VLOOKUP(B13,Zones!$B$2:$E$35,4,FALSE()))^2),2),"")</f>
        <v>8.49</v>
      </c>
      <c r="F13" s="4" t="n">
        <f aca="false">IFERROR(VLOOKUP(A13,Zones!$B$2:$E$35,4,FALSE()),"")</f>
        <v>4.44</v>
      </c>
      <c r="G13" s="4" t="n">
        <f aca="false">IFERROR(VLOOKUP(B13,Zones!$B$2:$E$35,4,FALSE()),"")</f>
        <v>4.42</v>
      </c>
      <c r="H13" s="4" t="n">
        <f aca="false">IFERROR(G13-F13,"")</f>
        <v>-0.0200000000000005</v>
      </c>
      <c r="I13" s="2"/>
      <c r="K13" s="2"/>
    </row>
    <row r="14" customFormat="false" ht="13.8" hidden="false" customHeight="false" outlineLevel="0" collapsed="false">
      <c r="A14" s="3" t="s">
        <v>18</v>
      </c>
      <c r="B14" s="3" t="s">
        <v>19</v>
      </c>
      <c r="C14" s="3" t="s">
        <v>3</v>
      </c>
      <c r="D14" s="3" t="s">
        <v>3</v>
      </c>
      <c r="E14" s="4" t="n">
        <f aca="false">IFERROR(ROUND(SQRT((VLOOKUP(A14,Zones!$B$2:$E$35,2,FALSE())-VLOOKUP(B14,Zones!$B$2:$E$35,2,FALSE()))^2+(VLOOKUP(A14,Zones!$B$2:$E$35,3,FALSE())-VLOOKUP(B14,Zones!$B$2:$E$35,3,FALSE()))^2+(VLOOKUP(A14,Zones!$B$2:$E$35,4,FALSE())-VLOOKUP(B14,Zones!$B$2:$E$35,4,FALSE()))^2),2),"")</f>
        <v>12.05</v>
      </c>
      <c r="F14" s="4" t="n">
        <f aca="false">IFERROR(VLOOKUP(A14,Zones!$B$2:$E$35,4,FALSE()),"")</f>
        <v>4.42</v>
      </c>
      <c r="G14" s="4" t="n">
        <f aca="false">IFERROR(VLOOKUP(B14,Zones!$B$2:$E$35,4,FALSE()),"")</f>
        <v>5.02</v>
      </c>
      <c r="H14" s="4" t="n">
        <f aca="false">IFERROR(G14-F14,"")</f>
        <v>0.6</v>
      </c>
      <c r="I14" s="2"/>
      <c r="K14" s="2"/>
    </row>
    <row r="15" customFormat="false" ht="13.8" hidden="false" customHeight="false" outlineLevel="0" collapsed="false">
      <c r="A15" s="3" t="s">
        <v>19</v>
      </c>
      <c r="B15" s="3" t="s">
        <v>20</v>
      </c>
      <c r="C15" s="3" t="s">
        <v>3</v>
      </c>
      <c r="D15" s="3" t="s">
        <v>3</v>
      </c>
      <c r="E15" s="4" t="n">
        <f aca="false">IFERROR(ROUND(SQRT((VLOOKUP(A15,Zones!$B$2:$E$35,2,FALSE())-VLOOKUP(B15,Zones!$B$2:$E$35,2,FALSE()))^2+(VLOOKUP(A15,Zones!$B$2:$E$35,3,FALSE())-VLOOKUP(B15,Zones!$B$2:$E$35,3,FALSE()))^2+(VLOOKUP(A15,Zones!$B$2:$E$35,4,FALSE())-VLOOKUP(B15,Zones!$B$2:$E$35,4,FALSE()))^2),2),"")</f>
        <v>9.84</v>
      </c>
      <c r="F15" s="4" t="n">
        <f aca="false">IFERROR(VLOOKUP(A15,Zones!$B$2:$E$35,4,FALSE()),"")</f>
        <v>5.02</v>
      </c>
      <c r="G15" s="4" t="n">
        <f aca="false">IFERROR(VLOOKUP(B15,Zones!$B$2:$E$35,4,FALSE()),"")</f>
        <v>7.21</v>
      </c>
      <c r="H15" s="4" t="n">
        <f aca="false">IFERROR(G15-F15,"")</f>
        <v>2.19</v>
      </c>
      <c r="I15" s="2" t="s">
        <v>49</v>
      </c>
      <c r="K15" s="2"/>
    </row>
    <row r="16" customFormat="false" ht="13.8" hidden="false" customHeight="false" outlineLevel="0" collapsed="false">
      <c r="A16" s="3" t="s">
        <v>20</v>
      </c>
      <c r="B16" s="3" t="s">
        <v>21</v>
      </c>
      <c r="C16" s="3" t="s">
        <v>3</v>
      </c>
      <c r="D16" s="3" t="s">
        <v>3</v>
      </c>
      <c r="E16" s="4" t="n">
        <f aca="false">IFERROR(ROUND(SQRT((VLOOKUP(A16,Zones!$B$2:$E$35,2,FALSE())-VLOOKUP(B16,Zones!$B$2:$E$35,2,FALSE()))^2+(VLOOKUP(A16,Zones!$B$2:$E$35,3,FALSE())-VLOOKUP(B16,Zones!$B$2:$E$35,3,FALSE()))^2+(VLOOKUP(A16,Zones!$B$2:$E$35,4,FALSE())-VLOOKUP(B16,Zones!$B$2:$E$35,4,FALSE()))^2),2),"")</f>
        <v>7.82</v>
      </c>
      <c r="F16" s="4" t="n">
        <f aca="false">IFERROR(VLOOKUP(A16,Zones!$B$2:$E$35,4,FALSE()),"")</f>
        <v>7.21</v>
      </c>
      <c r="G16" s="4" t="n">
        <f aca="false">IFERROR(VLOOKUP(B16,Zones!$B$2:$E$35,4,FALSE()),"")</f>
        <v>10.1</v>
      </c>
      <c r="H16" s="4" t="n">
        <f aca="false">IFERROR(G16-F16,"")</f>
        <v>2.89</v>
      </c>
      <c r="I16" s="2"/>
      <c r="K16" s="2"/>
    </row>
    <row r="17" customFormat="false" ht="13.8" hidden="false" customHeight="false" outlineLevel="0" collapsed="false">
      <c r="A17" s="3" t="s">
        <v>21</v>
      </c>
      <c r="B17" s="3" t="s">
        <v>22</v>
      </c>
      <c r="C17" s="3" t="s">
        <v>3</v>
      </c>
      <c r="D17" s="3" t="s">
        <v>3</v>
      </c>
      <c r="E17" s="4" t="n">
        <f aca="false">IFERROR(ROUND(SQRT((VLOOKUP(A17,Zones!$B$2:$E$35,2,FALSE())-VLOOKUP(B17,Zones!$B$2:$E$35,2,FALSE()))^2+(VLOOKUP(A17,Zones!$B$2:$E$35,3,FALSE())-VLOOKUP(B17,Zones!$B$2:$E$35,3,FALSE()))^2+(VLOOKUP(A17,Zones!$B$2:$E$35,4,FALSE())-VLOOKUP(B17,Zones!$B$2:$E$35,4,FALSE()))^2),2),"")</f>
        <v>9.07</v>
      </c>
      <c r="F17" s="4" t="n">
        <f aca="false">IFERROR(VLOOKUP(A17,Zones!$B$2:$E$35,4,FALSE()),"")</f>
        <v>10.1</v>
      </c>
      <c r="G17" s="4" t="n">
        <f aca="false">IFERROR(VLOOKUP(B17,Zones!$B$2:$E$35,4,FALSE()),"")</f>
        <v>12.13</v>
      </c>
      <c r="H17" s="4" t="n">
        <f aca="false">IFERROR(G17-F17,"")</f>
        <v>2.03</v>
      </c>
      <c r="I17" s="2"/>
      <c r="K17" s="2"/>
    </row>
    <row r="18" customFormat="false" ht="13.8" hidden="false" customHeight="false" outlineLevel="0" collapsed="false">
      <c r="A18" s="3" t="s">
        <v>21</v>
      </c>
      <c r="B18" s="3" t="s">
        <v>23</v>
      </c>
      <c r="C18" s="3" t="s">
        <v>3</v>
      </c>
      <c r="D18" s="3" t="s">
        <v>3</v>
      </c>
      <c r="E18" s="4" t="n">
        <f aca="false">IFERROR(ROUND(SQRT((VLOOKUP(A18,Zones!$B$2:$E$35,2,FALSE())-VLOOKUP(B18,Zones!$B$2:$E$35,2,FALSE()))^2+(VLOOKUP(A18,Zones!$B$2:$E$35,3,FALSE())-VLOOKUP(B18,Zones!$B$2:$E$35,3,FALSE()))^2+(VLOOKUP(A18,Zones!$B$2:$E$35,4,FALSE())-VLOOKUP(B18,Zones!$B$2:$E$35,4,FALSE()))^2),2),"")</f>
        <v>7.22</v>
      </c>
      <c r="F18" s="4" t="n">
        <f aca="false">IFERROR(VLOOKUP(A18,Zones!$B$2:$E$35,4,FALSE()),"")</f>
        <v>10.1</v>
      </c>
      <c r="G18" s="4" t="n">
        <f aca="false">IFERROR(VLOOKUP(B18,Zones!$B$2:$E$35,4,FALSE()),"")</f>
        <v>12.5</v>
      </c>
      <c r="H18" s="4" t="n">
        <f aca="false">IFERROR(G18-F18,"")</f>
        <v>2.4</v>
      </c>
      <c r="I18" s="2"/>
      <c r="K18" s="2"/>
    </row>
    <row r="19" customFormat="false" ht="13.8" hidden="false" customHeight="false" outlineLevel="0" collapsed="false">
      <c r="A19" s="3" t="s">
        <v>23</v>
      </c>
      <c r="B19" s="3" t="s">
        <v>24</v>
      </c>
      <c r="C19" s="3" t="s">
        <v>3</v>
      </c>
      <c r="D19" s="3" t="s">
        <v>3</v>
      </c>
      <c r="E19" s="4" t="n">
        <f aca="false">IFERROR(ROUND(SQRT((VLOOKUP(A19,Zones!$B$2:$E$35,2,FALSE())-VLOOKUP(B19,Zones!$B$2:$E$35,2,FALSE()))^2+(VLOOKUP(A19,Zones!$B$2:$E$35,3,FALSE())-VLOOKUP(B19,Zones!$B$2:$E$35,3,FALSE()))^2+(VLOOKUP(A19,Zones!$B$2:$E$35,4,FALSE())-VLOOKUP(B19,Zones!$B$2:$E$35,4,FALSE()))^2),2),"")</f>
        <v>8.29</v>
      </c>
      <c r="F19" s="4" t="n">
        <f aca="false">IFERROR(VLOOKUP(A19,Zones!$B$2:$E$35,4,FALSE()),"")</f>
        <v>12.5</v>
      </c>
      <c r="G19" s="4" t="n">
        <f aca="false">IFERROR(VLOOKUP(B19,Zones!$B$2:$E$35,4,FALSE()),"")</f>
        <v>15.21</v>
      </c>
      <c r="H19" s="4" t="n">
        <f aca="false">IFERROR(G19-F19,"")</f>
        <v>2.71</v>
      </c>
      <c r="I19" s="2"/>
      <c r="K19" s="2"/>
    </row>
    <row r="20" customFormat="false" ht="13.8" hidden="false" customHeight="false" outlineLevel="0" collapsed="false">
      <c r="A20" s="3" t="s">
        <v>24</v>
      </c>
      <c r="B20" s="3" t="s">
        <v>25</v>
      </c>
      <c r="C20" s="3" t="s">
        <v>3</v>
      </c>
      <c r="D20" s="3" t="s">
        <v>3</v>
      </c>
      <c r="E20" s="4" t="n">
        <f aca="false">IFERROR(ROUND(SQRT((VLOOKUP(A20,Zones!$B$2:$E$35,2,FALSE())-VLOOKUP(B20,Zones!$B$2:$E$35,2,FALSE()))^2+(VLOOKUP(A20,Zones!$B$2:$E$35,3,FALSE())-VLOOKUP(B20,Zones!$B$2:$E$35,3,FALSE()))^2+(VLOOKUP(A20,Zones!$B$2:$E$35,4,FALSE())-VLOOKUP(B20,Zones!$B$2:$E$35,4,FALSE()))^2),2),"")</f>
        <v>7.12</v>
      </c>
      <c r="F20" s="4" t="n">
        <f aca="false">IFERROR(VLOOKUP(A20,Zones!$B$2:$E$35,4,FALSE()),"")</f>
        <v>15.21</v>
      </c>
      <c r="G20" s="4" t="n">
        <f aca="false">IFERROR(VLOOKUP(B20,Zones!$B$2:$E$35,4,FALSE()),"")</f>
        <v>17.19</v>
      </c>
      <c r="H20" s="4" t="n">
        <f aca="false">IFERROR(G20-F20,"")</f>
        <v>1.98</v>
      </c>
      <c r="I20" s="2"/>
      <c r="K20" s="2"/>
    </row>
    <row r="21" customFormat="false" ht="13.8" hidden="false" customHeight="false" outlineLevel="0" collapsed="false">
      <c r="A21" s="3" t="s">
        <v>25</v>
      </c>
      <c r="B21" s="3" t="s">
        <v>26</v>
      </c>
      <c r="C21" s="3" t="s">
        <v>3</v>
      </c>
      <c r="D21" s="3" t="s">
        <v>3</v>
      </c>
      <c r="E21" s="4" t="n">
        <f aca="false">IFERROR(ROUND(SQRT((VLOOKUP(A21,Zones!$B$2:$E$35,2,FALSE())-VLOOKUP(B21,Zones!$B$2:$E$35,2,FALSE()))^2+(VLOOKUP(A21,Zones!$B$2:$E$35,3,FALSE())-VLOOKUP(B21,Zones!$B$2:$E$35,3,FALSE()))^2+(VLOOKUP(A21,Zones!$B$2:$E$35,4,FALSE())-VLOOKUP(B21,Zones!$B$2:$E$35,4,FALSE()))^2),2),"")</f>
        <v>7.74</v>
      </c>
      <c r="F21" s="4" t="n">
        <f aca="false">IFERROR(VLOOKUP(A21,Zones!$B$2:$E$35,4,FALSE()),"")</f>
        <v>17.19</v>
      </c>
      <c r="G21" s="4" t="n">
        <f aca="false">IFERROR(VLOOKUP(B21,Zones!$B$2:$E$35,4,FALSE()),"")</f>
        <v>18.83</v>
      </c>
      <c r="H21" s="4" t="n">
        <f aca="false">IFERROR(G21-F21,"")</f>
        <v>1.64</v>
      </c>
      <c r="I21" s="2"/>
      <c r="K21" s="2"/>
    </row>
    <row r="22" customFormat="false" ht="13.8" hidden="false" customHeight="false" outlineLevel="0" collapsed="false">
      <c r="A22" s="3" t="s">
        <v>26</v>
      </c>
      <c r="B22" s="3" t="s">
        <v>27</v>
      </c>
      <c r="C22" s="3" t="s">
        <v>3</v>
      </c>
      <c r="D22" s="3" t="s">
        <v>3</v>
      </c>
      <c r="E22" s="4" t="n">
        <f aca="false">IFERROR(ROUND(SQRT((VLOOKUP(A22,Zones!$B$2:$E$35,2,FALSE())-VLOOKUP(B22,Zones!$B$2:$E$35,2,FALSE()))^2+(VLOOKUP(A22,Zones!$B$2:$E$35,3,FALSE())-VLOOKUP(B22,Zones!$B$2:$E$35,3,FALSE()))^2+(VLOOKUP(A22,Zones!$B$2:$E$35,4,FALSE())-VLOOKUP(B22,Zones!$B$2:$E$35,4,FALSE()))^2),2),"")</f>
        <v>10.95</v>
      </c>
      <c r="F22" s="4" t="n">
        <f aca="false">IFERROR(VLOOKUP(A22,Zones!$B$2:$E$35,4,FALSE()),"")</f>
        <v>18.83</v>
      </c>
      <c r="G22" s="4" t="n">
        <f aca="false">IFERROR(VLOOKUP(B22,Zones!$B$2:$E$35,4,FALSE()),"")</f>
        <v>20.59</v>
      </c>
      <c r="H22" s="4" t="n">
        <f aca="false">IFERROR(G22-F22,"")</f>
        <v>1.76</v>
      </c>
      <c r="I22" s="2"/>
      <c r="K22" s="2"/>
    </row>
    <row r="23" customFormat="false" ht="13.8" hidden="false" customHeight="false" outlineLevel="0" collapsed="false">
      <c r="A23" s="3" t="s">
        <v>27</v>
      </c>
      <c r="B23" s="3" t="s">
        <v>28</v>
      </c>
      <c r="C23" s="3" t="s">
        <v>3</v>
      </c>
      <c r="D23" s="3" t="s">
        <v>3</v>
      </c>
      <c r="E23" s="4" t="n">
        <f aca="false">IFERROR(ROUND(SQRT((VLOOKUP(A23,Zones!$B$2:$E$35,2,FALSE())-VLOOKUP(B23,Zones!$B$2:$E$35,2,FALSE()))^2+(VLOOKUP(A23,Zones!$B$2:$E$35,3,FALSE())-VLOOKUP(B23,Zones!$B$2:$E$35,3,FALSE()))^2+(VLOOKUP(A23,Zones!$B$2:$E$35,4,FALSE())-VLOOKUP(B23,Zones!$B$2:$E$35,4,FALSE()))^2),2),"")</f>
        <v>12.16</v>
      </c>
      <c r="F23" s="4" t="n">
        <f aca="false">IFERROR(VLOOKUP(A23,Zones!$B$2:$E$35,4,FALSE()),"")</f>
        <v>20.59</v>
      </c>
      <c r="G23" s="4" t="n">
        <f aca="false">IFERROR(VLOOKUP(B23,Zones!$B$2:$E$35,4,FALSE()),"")</f>
        <v>22.37</v>
      </c>
      <c r="H23" s="4" t="n">
        <f aca="false">IFERROR(G23-F23,"")</f>
        <v>1.78</v>
      </c>
      <c r="I23" s="2"/>
      <c r="K23" s="2"/>
    </row>
    <row r="24" customFormat="false" ht="13.8" hidden="false" customHeight="false" outlineLevel="0" collapsed="false">
      <c r="A24" s="3" t="s">
        <v>28</v>
      </c>
      <c r="B24" s="3" t="s">
        <v>29</v>
      </c>
      <c r="C24" s="3" t="s">
        <v>3</v>
      </c>
      <c r="D24" s="3" t="s">
        <v>3</v>
      </c>
      <c r="E24" s="4" t="n">
        <f aca="false">IFERROR(ROUND(SQRT((VLOOKUP(A24,Zones!$B$2:$E$35,2,FALSE())-VLOOKUP(B24,Zones!$B$2:$E$35,2,FALSE()))^2+(VLOOKUP(A24,Zones!$B$2:$E$35,3,FALSE())-VLOOKUP(B24,Zones!$B$2:$E$35,3,FALSE()))^2+(VLOOKUP(A24,Zones!$B$2:$E$35,4,FALSE())-VLOOKUP(B24,Zones!$B$2:$E$35,4,FALSE()))^2),2),"")</f>
        <v>11.63</v>
      </c>
      <c r="F24" s="4" t="n">
        <f aca="false">IFERROR(VLOOKUP(A24,Zones!$B$2:$E$35,4,FALSE()),"")</f>
        <v>22.37</v>
      </c>
      <c r="G24" s="4" t="n">
        <f aca="false">IFERROR(VLOOKUP(B24,Zones!$B$2:$E$35,4,FALSE()),"")</f>
        <v>24.64</v>
      </c>
      <c r="H24" s="4" t="n">
        <f aca="false">IFERROR(G24-F24,"")</f>
        <v>2.27</v>
      </c>
      <c r="I24" s="2"/>
      <c r="K24" s="2"/>
    </row>
    <row r="25" customFormat="false" ht="17.15" hidden="false" customHeight="false" outlineLevel="0" collapsed="false">
      <c r="A25" s="3" t="s">
        <v>29</v>
      </c>
      <c r="B25" s="3" t="s">
        <v>30</v>
      </c>
      <c r="C25" s="3" t="s">
        <v>3</v>
      </c>
      <c r="D25" s="3" t="s">
        <v>3</v>
      </c>
      <c r="E25" s="4" t="n">
        <f aca="false">IFERROR(ROUND(SQRT((VLOOKUP(A25,Zones!$B$2:$E$35,2,FALSE())-VLOOKUP(B25,Zones!$B$2:$E$35,2,FALSE()))^2+(VLOOKUP(A25,Zones!$B$2:$E$35,3,FALSE())-VLOOKUP(B25,Zones!$B$2:$E$35,3,FALSE()))^2+(VLOOKUP(A25,Zones!$B$2:$E$35,4,FALSE())-VLOOKUP(B25,Zones!$B$2:$E$35,4,FALSE()))^2),2),"")</f>
        <v>4.34</v>
      </c>
      <c r="F25" s="4" t="n">
        <f aca="false">IFERROR(VLOOKUP(A25,Zones!$B$2:$E$35,4,FALSE()),"")</f>
        <v>24.64</v>
      </c>
      <c r="G25" s="4" t="n">
        <f aca="false">IFERROR(VLOOKUP(B25,Zones!$B$2:$E$35,4,FALSE()),"")</f>
        <v>25.69</v>
      </c>
      <c r="H25" s="4" t="n">
        <f aca="false">IFERROR(G25-F25,"")</f>
        <v>1.05</v>
      </c>
      <c r="I25" s="2" t="s">
        <v>50</v>
      </c>
      <c r="K25" s="2"/>
    </row>
    <row r="26" customFormat="false" ht="13.8" hidden="false" customHeight="false" outlineLevel="0" collapsed="false">
      <c r="A26" s="3" t="s">
        <v>22</v>
      </c>
      <c r="B26" s="3" t="s">
        <v>31</v>
      </c>
      <c r="C26" s="3" t="s">
        <v>3</v>
      </c>
      <c r="D26" s="3" t="s">
        <v>3</v>
      </c>
      <c r="E26" s="4" t="n">
        <f aca="false">IFERROR(ROUND(SQRT((VLOOKUP(A26,Zones!$B$2:$E$35,2,FALSE())-VLOOKUP(B26,Zones!$B$2:$E$35,2,FALSE()))^2+(VLOOKUP(A26,Zones!$B$2:$E$35,3,FALSE())-VLOOKUP(B26,Zones!$B$2:$E$35,3,FALSE()))^2+(VLOOKUP(A26,Zones!$B$2:$E$35,4,FALSE())-VLOOKUP(B26,Zones!$B$2:$E$35,4,FALSE()))^2),2),"")</f>
        <v>5.74</v>
      </c>
      <c r="F26" s="4" t="n">
        <f aca="false">IFERROR(VLOOKUP(A26,Zones!$B$2:$E$35,4,FALSE()),"")</f>
        <v>12.13</v>
      </c>
      <c r="G26" s="4" t="n">
        <f aca="false">IFERROR(VLOOKUP(B26,Zones!$B$2:$E$35,4,FALSE()),"")</f>
        <v>14.25</v>
      </c>
      <c r="H26" s="4" t="n">
        <f aca="false">IFERROR(G26-F26,"")</f>
        <v>2.12</v>
      </c>
      <c r="I26" s="2"/>
      <c r="K26" s="2"/>
    </row>
    <row r="27" customFormat="false" ht="13.8" hidden="false" customHeight="false" outlineLevel="0" collapsed="false">
      <c r="A27" s="3" t="s">
        <v>31</v>
      </c>
      <c r="B27" s="3" t="s">
        <v>32</v>
      </c>
      <c r="C27" s="3" t="s">
        <v>3</v>
      </c>
      <c r="D27" s="3" t="s">
        <v>3</v>
      </c>
      <c r="E27" s="4" t="n">
        <f aca="false">IFERROR(ROUND(SQRT((VLOOKUP(A27,Zones!$B$2:$E$35,2,FALSE())-VLOOKUP(B27,Zones!$B$2:$E$35,2,FALSE()))^2+(VLOOKUP(A27,Zones!$B$2:$E$35,3,FALSE())-VLOOKUP(B27,Zones!$B$2:$E$35,3,FALSE()))^2+(VLOOKUP(A27,Zones!$B$2:$E$35,4,FALSE())-VLOOKUP(B27,Zones!$B$2:$E$35,4,FALSE()))^2),2),"")</f>
        <v>6.18</v>
      </c>
      <c r="F27" s="4" t="n">
        <f aca="false">IFERROR(VLOOKUP(A27,Zones!$B$2:$E$35,4,FALSE()),"")</f>
        <v>14.25</v>
      </c>
      <c r="G27" s="4" t="n">
        <f aca="false">IFERROR(VLOOKUP(B27,Zones!$B$2:$E$35,4,FALSE()),"")</f>
        <v>16.29</v>
      </c>
      <c r="H27" s="4" t="n">
        <f aca="false">IFERROR(G27-F27,"")</f>
        <v>2.04</v>
      </c>
      <c r="I27" s="2"/>
      <c r="K27" s="2"/>
    </row>
    <row r="28" customFormat="false" ht="13.8" hidden="false" customHeight="false" outlineLevel="0" collapsed="false">
      <c r="A28" s="3" t="s">
        <v>32</v>
      </c>
      <c r="B28" s="3" t="s">
        <v>33</v>
      </c>
      <c r="C28" s="3" t="s">
        <v>3</v>
      </c>
      <c r="D28" s="3" t="s">
        <v>3</v>
      </c>
      <c r="E28" s="4" t="n">
        <f aca="false">IFERROR(ROUND(SQRT((VLOOKUP(A28,Zones!$B$2:$E$35,2,FALSE())-VLOOKUP(B28,Zones!$B$2:$E$35,2,FALSE()))^2+(VLOOKUP(A28,Zones!$B$2:$E$35,3,FALSE())-VLOOKUP(B28,Zones!$B$2:$E$35,3,FALSE()))^2+(VLOOKUP(A28,Zones!$B$2:$E$35,4,FALSE())-VLOOKUP(B28,Zones!$B$2:$E$35,4,FALSE()))^2),2),"")</f>
        <v>4.8</v>
      </c>
      <c r="F28" s="4" t="n">
        <f aca="false">IFERROR(VLOOKUP(A28,Zones!$B$2:$E$35,4,FALSE()),"")</f>
        <v>16.29</v>
      </c>
      <c r="G28" s="4" t="n">
        <f aca="false">IFERROR(VLOOKUP(B28,Zones!$B$2:$E$35,4,FALSE()),"")</f>
        <v>17.67</v>
      </c>
      <c r="H28" s="4" t="n">
        <f aca="false">IFERROR(G28-F28,"")</f>
        <v>1.38</v>
      </c>
      <c r="I28" s="2"/>
      <c r="K28" s="2"/>
    </row>
    <row r="29" customFormat="false" ht="13.8" hidden="false" customHeight="false" outlineLevel="0" collapsed="false">
      <c r="A29" s="3" t="s">
        <v>33</v>
      </c>
      <c r="B29" s="3" t="s">
        <v>34</v>
      </c>
      <c r="C29" s="3" t="s">
        <v>3</v>
      </c>
      <c r="D29" s="3" t="s">
        <v>3</v>
      </c>
      <c r="E29" s="4" t="n">
        <f aca="false">IFERROR(ROUND(SQRT((VLOOKUP(A29,Zones!$B$2:$E$35,2,FALSE())-VLOOKUP(B29,Zones!$B$2:$E$35,2,FALSE()))^2+(VLOOKUP(A29,Zones!$B$2:$E$35,3,FALSE())-VLOOKUP(B29,Zones!$B$2:$E$35,3,FALSE()))^2+(VLOOKUP(A29,Zones!$B$2:$E$35,4,FALSE())-VLOOKUP(B29,Zones!$B$2:$E$35,4,FALSE()))^2),2),"")</f>
        <v>5.33</v>
      </c>
      <c r="F29" s="4" t="n">
        <f aca="false">IFERROR(VLOOKUP(A29,Zones!$B$2:$E$35,4,FALSE()),"")</f>
        <v>17.67</v>
      </c>
      <c r="G29" s="4" t="n">
        <f aca="false">IFERROR(VLOOKUP(B29,Zones!$B$2:$E$35,4,FALSE()),"")</f>
        <v>18.84</v>
      </c>
      <c r="H29" s="4" t="n">
        <f aca="false">IFERROR(G29-F29,"")</f>
        <v>1.17</v>
      </c>
      <c r="I29" s="2"/>
      <c r="K29" s="2"/>
    </row>
    <row r="30" customFormat="false" ht="13.8" hidden="false" customHeight="false" outlineLevel="0" collapsed="false">
      <c r="A30" s="3" t="s">
        <v>34</v>
      </c>
      <c r="B30" s="3" t="s">
        <v>35</v>
      </c>
      <c r="C30" s="3" t="s">
        <v>3</v>
      </c>
      <c r="D30" s="3" t="s">
        <v>3</v>
      </c>
      <c r="E30" s="4" t="n">
        <f aca="false">IFERROR(ROUND(SQRT((VLOOKUP(A30,Zones!$B$2:$E$35,2,FALSE())-VLOOKUP(B30,Zones!$B$2:$E$35,2,FALSE()))^2+(VLOOKUP(A30,Zones!$B$2:$E$35,3,FALSE())-VLOOKUP(B30,Zones!$B$2:$E$35,3,FALSE()))^2+(VLOOKUP(A30,Zones!$B$2:$E$35,4,FALSE())-VLOOKUP(B30,Zones!$B$2:$E$35,4,FALSE()))^2),2),"")</f>
        <v>7.12</v>
      </c>
      <c r="F30" s="4" t="n">
        <f aca="false">IFERROR(VLOOKUP(A30,Zones!$B$2:$E$35,4,FALSE()),"")</f>
        <v>18.84</v>
      </c>
      <c r="G30" s="4" t="n">
        <f aca="false">IFERROR(VLOOKUP(B30,Zones!$B$2:$E$35,4,FALSE()),"")</f>
        <v>19.17</v>
      </c>
      <c r="H30" s="4" t="n">
        <f aca="false">IFERROR(G30-F30,"")</f>
        <v>0.330000000000002</v>
      </c>
      <c r="I30" s="2"/>
      <c r="K30" s="2"/>
    </row>
    <row r="31" customFormat="false" ht="13.8" hidden="false" customHeight="false" outlineLevel="0" collapsed="false">
      <c r="A31" s="3" t="s">
        <v>35</v>
      </c>
      <c r="B31" s="3" t="s">
        <v>36</v>
      </c>
      <c r="C31" s="3" t="s">
        <v>3</v>
      </c>
      <c r="D31" s="3" t="s">
        <v>3</v>
      </c>
      <c r="E31" s="4" t="n">
        <f aca="false">IFERROR(ROUND(SQRT((VLOOKUP(A31,Zones!$B$2:$E$35,2,FALSE())-VLOOKUP(B31,Zones!$B$2:$E$35,2,FALSE()))^2+(VLOOKUP(A31,Zones!$B$2:$E$35,3,FALSE())-VLOOKUP(B31,Zones!$B$2:$E$35,3,FALSE()))^2+(VLOOKUP(A31,Zones!$B$2:$E$35,4,FALSE())-VLOOKUP(B31,Zones!$B$2:$E$35,4,FALSE()))^2),2),"")</f>
        <v>7.22</v>
      </c>
      <c r="F31" s="4" t="n">
        <f aca="false">IFERROR(VLOOKUP(A31,Zones!$B$2:$E$35,4,FALSE()),"")</f>
        <v>19.17</v>
      </c>
      <c r="G31" s="4" t="n">
        <f aca="false">IFERROR(VLOOKUP(B31,Zones!$B$2:$E$35,4,FALSE()),"")</f>
        <v>19.45</v>
      </c>
      <c r="H31" s="4" t="n">
        <f aca="false">IFERROR(G31-F31,"")</f>
        <v>0.279999999999998</v>
      </c>
      <c r="I31" s="2"/>
      <c r="K31" s="2"/>
    </row>
    <row r="32" customFormat="false" ht="13.8" hidden="false" customHeight="false" outlineLevel="0" collapsed="false">
      <c r="A32" s="3" t="s">
        <v>36</v>
      </c>
      <c r="B32" s="3" t="s">
        <v>37</v>
      </c>
      <c r="C32" s="3" t="s">
        <v>3</v>
      </c>
      <c r="D32" s="3" t="s">
        <v>3</v>
      </c>
      <c r="E32" s="4" t="n">
        <f aca="false">IFERROR(ROUND(SQRT((VLOOKUP(A32,Zones!$B$2:$E$35,2,FALSE())-VLOOKUP(B32,Zones!$B$2:$E$35,2,FALSE()))^2+(VLOOKUP(A32,Zones!$B$2:$E$35,3,FALSE())-VLOOKUP(B32,Zones!$B$2:$E$35,3,FALSE()))^2+(VLOOKUP(A32,Zones!$B$2:$E$35,4,FALSE())-VLOOKUP(B32,Zones!$B$2:$E$35,4,FALSE()))^2),2),"")</f>
        <v>3.51</v>
      </c>
      <c r="F32" s="4" t="n">
        <f aca="false">IFERROR(VLOOKUP(A32,Zones!$B$2:$E$35,4,FALSE()),"")</f>
        <v>19.45</v>
      </c>
      <c r="G32" s="4" t="n">
        <f aca="false">IFERROR(VLOOKUP(B32,Zones!$B$2:$E$35,4,FALSE()),"")</f>
        <v>19.89</v>
      </c>
      <c r="H32" s="4" t="n">
        <f aca="false">IFERROR(G32-F32,"")</f>
        <v>0.440000000000001</v>
      </c>
      <c r="I32" s="2"/>
      <c r="K32" s="2"/>
    </row>
    <row r="33" customFormat="false" ht="13.8" hidden="false" customHeight="false" outlineLevel="0" collapsed="false">
      <c r="A33" s="3" t="s">
        <v>37</v>
      </c>
      <c r="B33" s="3" t="s">
        <v>38</v>
      </c>
      <c r="C33" s="3" t="s">
        <v>3</v>
      </c>
      <c r="D33" s="3" t="s">
        <v>3</v>
      </c>
      <c r="E33" s="4" t="n">
        <f aca="false">IFERROR(ROUND(SQRT((VLOOKUP(A33,Zones!$B$2:$E$35,2,FALSE())-VLOOKUP(B33,Zones!$B$2:$E$35,2,FALSE()))^2+(VLOOKUP(A33,Zones!$B$2:$E$35,3,FALSE())-VLOOKUP(B33,Zones!$B$2:$E$35,3,FALSE()))^2+(VLOOKUP(A33,Zones!$B$2:$E$35,4,FALSE())-VLOOKUP(B33,Zones!$B$2:$E$35,4,FALSE()))^2),2),"")</f>
        <v>3.85</v>
      </c>
      <c r="F33" s="4" t="n">
        <f aca="false">IFERROR(VLOOKUP(A33,Zones!$B$2:$E$35,4,FALSE()),"")</f>
        <v>19.89</v>
      </c>
      <c r="G33" s="4" t="n">
        <f aca="false">IFERROR(VLOOKUP(B33,Zones!$B$2:$E$35,4,FALSE()),"")</f>
        <v>20.44</v>
      </c>
      <c r="H33" s="4" t="n">
        <f aca="false">IFERROR(G33-F33,"")</f>
        <v>0.550000000000001</v>
      </c>
      <c r="I33" s="2"/>
      <c r="K33" s="2"/>
    </row>
    <row r="34" customFormat="false" ht="17.15" hidden="false" customHeight="false" outlineLevel="0" collapsed="false">
      <c r="A34" s="3" t="s">
        <v>38</v>
      </c>
      <c r="B34" s="3" t="s">
        <v>39</v>
      </c>
      <c r="C34" s="3" t="s">
        <v>3</v>
      </c>
      <c r="D34" s="3" t="s">
        <v>3</v>
      </c>
      <c r="E34" s="4" t="n">
        <f aca="false">IFERROR(ROUND(SQRT((VLOOKUP(A34,Zones!$B$2:$E$35,2,FALSE())-VLOOKUP(B34,Zones!$B$2:$E$35,2,FALSE()))^2+(VLOOKUP(A34,Zones!$B$2:$E$35,3,FALSE())-VLOOKUP(B34,Zones!$B$2:$E$35,3,FALSE()))^2+(VLOOKUP(A34,Zones!$B$2:$E$35,4,FALSE())-VLOOKUP(B34,Zones!$B$2:$E$35,4,FALSE()))^2),2),"")</f>
        <v>3.64</v>
      </c>
      <c r="F34" s="4" t="n">
        <f aca="false">IFERROR(VLOOKUP(A34,Zones!$B$2:$E$35,4,FALSE()),"")</f>
        <v>20.44</v>
      </c>
      <c r="G34" s="4" t="n">
        <f aca="false">IFERROR(VLOOKUP(B34,Zones!$B$2:$E$35,4,FALSE()),"")</f>
        <v>21.06</v>
      </c>
      <c r="H34" s="4" t="n">
        <f aca="false">IFERROR(G34-F34,"")</f>
        <v>0.619999999999997</v>
      </c>
      <c r="I34" s="2" t="s">
        <v>51</v>
      </c>
      <c r="K34" s="2"/>
    </row>
    <row r="35" customFormat="false" ht="13.8" hidden="false" customHeight="false" outlineLevel="0" collapsed="false">
      <c r="A35" s="3"/>
      <c r="B35" s="3"/>
      <c r="C35" s="3" t="s">
        <v>3</v>
      </c>
      <c r="D35" s="3" t="s">
        <v>3</v>
      </c>
      <c r="E35" s="6" t="str">
        <f aca="false">IFERROR(ROUND(SQRT((VLOOKUP(A35,Zones!$B$2:$E$35,2,FALSE())-VLOOKUP(B35,Zones!$B$2:$E$35,2,FALSE()))^2+(VLOOKUP(A35,Zones!$B$2:$E$35,3,FALSE())-VLOOKUP(B35,Zones!$B$2:$E$35,3,FALSE()))^2+(VLOOKUP(A35,Zones!$B$2:$E$35,4,FALSE())-VLOOKUP(B35,Zones!$B$2:$E$35,4,FALSE()))^2),2),"")</f>
        <v/>
      </c>
      <c r="F35" s="6" t="str">
        <f aca="false">IFERROR(VLOOKUP(A35,Zones!$B$2:$E$35,4,FALSE()),"")</f>
        <v/>
      </c>
      <c r="G35" s="6" t="str">
        <f aca="false">IFERROR(VLOOKUP(B35,Zones!$B$2:$E$35,4,FALSE()),"")</f>
        <v/>
      </c>
      <c r="H35" s="6" t="str">
        <f aca="false">IFERROR(G35-F35,"")</f>
        <v/>
      </c>
      <c r="I35" s="2"/>
      <c r="K35" s="2"/>
    </row>
    <row r="36" customFormat="false" ht="13.8" hidden="false" customHeight="false" outlineLevel="0" collapsed="false">
      <c r="A36" s="3"/>
      <c r="B36" s="3"/>
      <c r="C36" s="3" t="s">
        <v>3</v>
      </c>
      <c r="D36" s="3" t="s">
        <v>3</v>
      </c>
      <c r="E36" s="6" t="str">
        <f aca="false">IFERROR(ROUND(SQRT((VLOOKUP(A36,Zones!$B$2:$E$35,2,FALSE())-VLOOKUP(B36,Zones!$B$2:$E$35,2,FALSE()))^2+(VLOOKUP(A36,Zones!$B$2:$E$35,3,FALSE())-VLOOKUP(B36,Zones!$B$2:$E$35,3,FALSE()))^2+(VLOOKUP(A36,Zones!$B$2:$E$35,4,FALSE())-VLOOKUP(B36,Zones!$B$2:$E$35,4,FALSE()))^2),2),"")</f>
        <v/>
      </c>
      <c r="F36" s="6" t="str">
        <f aca="false">IFERROR(VLOOKUP(A36,Zones!$B$2:$E$35,4,FALSE()),"")</f>
        <v/>
      </c>
      <c r="G36" s="6" t="str">
        <f aca="false">IFERROR(VLOOKUP(B36,Zones!$B$2:$E$35,4,FALSE()),"")</f>
        <v/>
      </c>
      <c r="H36" s="6" t="str">
        <f aca="false">IFERROR(G36-F36,"")</f>
        <v/>
      </c>
      <c r="I36" s="2"/>
    </row>
    <row r="37" customFormat="false" ht="13.8" hidden="false" customHeight="false" outlineLevel="0" collapsed="false">
      <c r="A37" s="3"/>
      <c r="B37" s="3"/>
      <c r="C37" s="3" t="s">
        <v>3</v>
      </c>
      <c r="D37" s="3" t="s">
        <v>3</v>
      </c>
      <c r="E37" s="6" t="str">
        <f aca="false">IFERROR(ROUND(SQRT((VLOOKUP(A37,Zones!$B$2:$E$35,2,FALSE())-VLOOKUP(B37,Zones!$B$2:$E$35,2,FALSE()))^2+(VLOOKUP(A37,Zones!$B$2:$E$35,3,FALSE())-VLOOKUP(B37,Zones!$B$2:$E$35,3,FALSE()))^2+(VLOOKUP(A37,Zones!$B$2:$E$35,4,FALSE())-VLOOKUP(B37,Zones!$B$2:$E$35,4,FALSE()))^2),2),"")</f>
        <v/>
      </c>
      <c r="F37" s="6" t="str">
        <f aca="false">IFERROR(VLOOKUP(A37,Zones!$B$2:$E$35,4,FALSE()),"")</f>
        <v/>
      </c>
      <c r="G37" s="6" t="str">
        <f aca="false">IFERROR(VLOOKUP(B37,Zones!$B$2:$E$35,4,FALSE()),"")</f>
        <v/>
      </c>
      <c r="H37" s="6" t="str">
        <f aca="false">IFERROR(G37-F37,"")</f>
        <v/>
      </c>
      <c r="I37" s="2"/>
    </row>
    <row r="38" customFormat="false" ht="13.8" hidden="false" customHeight="false" outlineLevel="0" collapsed="false">
      <c r="A38" s="3"/>
      <c r="B38" s="3"/>
      <c r="C38" s="3" t="s">
        <v>3</v>
      </c>
      <c r="D38" s="3" t="s">
        <v>3</v>
      </c>
      <c r="E38" s="6" t="str">
        <f aca="false">IFERROR(ROUND(SQRT((VLOOKUP(A38,Zones!$B$2:$E$35,2,FALSE())-VLOOKUP(B38,Zones!$B$2:$E$35,2,FALSE()))^2+(VLOOKUP(A38,Zones!$B$2:$E$35,3,FALSE())-VLOOKUP(B38,Zones!$B$2:$E$35,3,FALSE()))^2+(VLOOKUP(A38,Zones!$B$2:$E$35,4,FALSE())-VLOOKUP(B38,Zones!$B$2:$E$35,4,FALSE()))^2),2),"")</f>
        <v/>
      </c>
      <c r="F38" s="6" t="str">
        <f aca="false">IFERROR(VLOOKUP(A38,Zones!$B$2:$E$35,4,FALSE()),"")</f>
        <v/>
      </c>
      <c r="G38" s="6" t="str">
        <f aca="false">IFERROR(VLOOKUP(B38,Zones!$B$2:$E$35,4,FALSE()),"")</f>
        <v/>
      </c>
      <c r="H38" s="6" t="str">
        <f aca="false">IFERROR(G38-F38,"")</f>
        <v/>
      </c>
      <c r="I38" s="2"/>
    </row>
    <row r="39" customFormat="false" ht="13.8" hidden="false" customHeight="false" outlineLevel="0" collapsed="false">
      <c r="A39" s="3"/>
      <c r="B39" s="3"/>
      <c r="C39" s="3" t="s">
        <v>3</v>
      </c>
      <c r="D39" s="3" t="s">
        <v>3</v>
      </c>
      <c r="E39" s="6" t="str">
        <f aca="false">IFERROR(ROUND(SQRT((VLOOKUP(A39,Zones!$B$2:$E$35,2,FALSE())-VLOOKUP(B39,Zones!$B$2:$E$35,2,FALSE()))^2+(VLOOKUP(A39,Zones!$B$2:$E$35,3,FALSE())-VLOOKUP(B39,Zones!$B$2:$E$35,3,FALSE()))^2+(VLOOKUP(A39,Zones!$B$2:$E$35,4,FALSE())-VLOOKUP(B39,Zones!$B$2:$E$35,4,FALSE()))^2),2),"")</f>
        <v/>
      </c>
      <c r="F39" s="6" t="str">
        <f aca="false">IFERROR(VLOOKUP(A39,Zones!$B$2:$E$35,4,FALSE()),"")</f>
        <v/>
      </c>
      <c r="G39" s="6" t="str">
        <f aca="false">IFERROR(VLOOKUP(B39,Zones!$B$2:$E$35,4,FALSE()),"")</f>
        <v/>
      </c>
      <c r="H39" s="6" t="str">
        <f aca="false">IFERROR(G39-F39,"")</f>
        <v/>
      </c>
      <c r="I39" s="2"/>
    </row>
    <row r="40" customFormat="false" ht="13.8" hidden="false" customHeight="false" outlineLevel="0" collapsed="false">
      <c r="A40" s="3"/>
      <c r="B40" s="3"/>
      <c r="C40" s="3" t="s">
        <v>3</v>
      </c>
      <c r="D40" s="3" t="s">
        <v>3</v>
      </c>
      <c r="E40" s="6" t="str">
        <f aca="false">IFERROR(ROUND(SQRT((VLOOKUP(A40,Zones!$B$2:$E$35,2,FALSE())-VLOOKUP(B40,Zones!$B$2:$E$35,2,FALSE()))^2+(VLOOKUP(A40,Zones!$B$2:$E$35,3,FALSE())-VLOOKUP(B40,Zones!$B$2:$E$35,3,FALSE()))^2+(VLOOKUP(A40,Zones!$B$2:$E$35,4,FALSE())-VLOOKUP(B40,Zones!$B$2:$E$35,4,FALSE()))^2),2),"")</f>
        <v/>
      </c>
      <c r="F40" s="6" t="str">
        <f aca="false">IFERROR(VLOOKUP(A40,Zones!$B$2:$E$35,4,FALSE()),"")</f>
        <v/>
      </c>
      <c r="G40" s="6" t="str">
        <f aca="false">IFERROR(VLOOKUP(B40,Zones!$B$2:$E$35,4,FALSE()),"")</f>
        <v/>
      </c>
      <c r="H40" s="6" t="str">
        <f aca="false">IFERROR(G40-F40,"")</f>
        <v/>
      </c>
      <c r="I40" s="2"/>
    </row>
    <row r="41" customFormat="false" ht="13.8" hidden="false" customHeight="false" outlineLevel="0" collapsed="false">
      <c r="A41" s="3"/>
      <c r="B41" s="3"/>
      <c r="C41" s="3" t="s">
        <v>3</v>
      </c>
      <c r="D41" s="3" t="s">
        <v>3</v>
      </c>
      <c r="E41" s="6" t="str">
        <f aca="false">IFERROR(ROUND(SQRT((VLOOKUP(A41,Zones!$B$2:$E$35,2,FALSE())-VLOOKUP(B41,Zones!$B$2:$E$35,2,FALSE()))^2+(VLOOKUP(A41,Zones!$B$2:$E$35,3,FALSE())-VLOOKUP(B41,Zones!$B$2:$E$35,3,FALSE()))^2+(VLOOKUP(A41,Zones!$B$2:$E$35,4,FALSE())-VLOOKUP(B41,Zones!$B$2:$E$35,4,FALSE()))^2),2),"")</f>
        <v/>
      </c>
      <c r="F41" s="6" t="str">
        <f aca="false">IFERROR(VLOOKUP(A41,Zones!$B$2:$E$35,4,FALSE()),"")</f>
        <v/>
      </c>
      <c r="G41" s="6" t="str">
        <f aca="false">IFERROR(VLOOKUP(B41,Zones!$B$2:$E$35,4,FALSE()),"")</f>
        <v/>
      </c>
      <c r="H41" s="6" t="str">
        <f aca="false">IFERROR(G41-F41,"")</f>
        <v/>
      </c>
      <c r="I41" s="2"/>
    </row>
    <row r="42" customFormat="false" ht="13.8" hidden="false" customHeight="false" outlineLevel="0" collapsed="false">
      <c r="A42" s="3"/>
      <c r="B42" s="3"/>
      <c r="C42" s="3" t="s">
        <v>3</v>
      </c>
      <c r="D42" s="3" t="s">
        <v>3</v>
      </c>
      <c r="E42" s="6" t="str">
        <f aca="false">IFERROR(ROUND(SQRT((VLOOKUP(A42,Zones!$B$2:$E$35,2,FALSE())-VLOOKUP(B42,Zones!$B$2:$E$35,2,FALSE()))^2+(VLOOKUP(A42,Zones!$B$2:$E$35,3,FALSE())-VLOOKUP(B42,Zones!$B$2:$E$35,3,FALSE()))^2+(VLOOKUP(A42,Zones!$B$2:$E$35,4,FALSE())-VLOOKUP(B42,Zones!$B$2:$E$35,4,FALSE()))^2),2),"")</f>
        <v/>
      </c>
      <c r="F42" s="6" t="str">
        <f aca="false">IFERROR(VLOOKUP(A42,Zones!$B$2:$E$35,4,FALSE()),"")</f>
        <v/>
      </c>
      <c r="G42" s="6" t="str">
        <f aca="false">IFERROR(VLOOKUP(B42,Zones!$B$2:$E$35,4,FALSE()),"")</f>
        <v/>
      </c>
      <c r="H42" s="6" t="str">
        <f aca="false">IFERROR(G42-F42,"")</f>
        <v/>
      </c>
      <c r="I42" s="2"/>
    </row>
    <row r="43" customFormat="false" ht="13.8" hidden="false" customHeight="false" outlineLevel="0" collapsed="false">
      <c r="A43" s="3"/>
      <c r="B43" s="3"/>
      <c r="C43" s="3" t="s">
        <v>3</v>
      </c>
      <c r="D43" s="3" t="s">
        <v>3</v>
      </c>
      <c r="E43" s="6" t="str">
        <f aca="false">IFERROR(ROUND(SQRT((VLOOKUP(A43,Zones!$B$2:$E$35,2,FALSE())-VLOOKUP(B43,Zones!$B$2:$E$35,2,FALSE()))^2+(VLOOKUP(A43,Zones!$B$2:$E$35,3,FALSE())-VLOOKUP(B43,Zones!$B$2:$E$35,3,FALSE()))^2+(VLOOKUP(A43,Zones!$B$2:$E$35,4,FALSE())-VLOOKUP(B43,Zones!$B$2:$E$35,4,FALSE()))^2),2),"")</f>
        <v/>
      </c>
      <c r="F43" s="6" t="str">
        <f aca="false">IFERROR(VLOOKUP(A43,Zones!$B$2:$E$35,4,FALSE()),"")</f>
        <v/>
      </c>
      <c r="G43" s="6" t="str">
        <f aca="false">IFERROR(VLOOKUP(B43,Zones!$B$2:$E$35,4,FALSE()),"")</f>
        <v/>
      </c>
      <c r="H43" s="6" t="str">
        <f aca="false">IFERROR(G43-F43,"")</f>
        <v/>
      </c>
      <c r="I43" s="2"/>
    </row>
    <row r="44" customFormat="false" ht="13.8" hidden="false" customHeight="false" outlineLevel="0" collapsed="false">
      <c r="A44" s="3"/>
      <c r="B44" s="3"/>
      <c r="C44" s="3" t="s">
        <v>3</v>
      </c>
      <c r="D44" s="3" t="s">
        <v>3</v>
      </c>
      <c r="E44" s="6" t="str">
        <f aca="false">IFERROR(ROUND(SQRT((VLOOKUP(A44,Zones!$B$2:$E$35,2,FALSE())-VLOOKUP(B44,Zones!$B$2:$E$35,2,FALSE()))^2+(VLOOKUP(A44,Zones!$B$2:$E$35,3,FALSE())-VLOOKUP(B44,Zones!$B$2:$E$35,3,FALSE()))^2+(VLOOKUP(A44,Zones!$B$2:$E$35,4,FALSE())-VLOOKUP(B44,Zones!$B$2:$E$35,4,FALSE()))^2),2),"")</f>
        <v/>
      </c>
      <c r="F44" s="6" t="str">
        <f aca="false">IFERROR(VLOOKUP(A44,Zones!$B$2:$E$35,4,FALSE()),"")</f>
        <v/>
      </c>
      <c r="G44" s="6" t="str">
        <f aca="false">IFERROR(VLOOKUP(B44,Zones!$B$2:$E$35,4,FALSE()),"")</f>
        <v/>
      </c>
      <c r="H44" s="6" t="str">
        <f aca="false">IFERROR(G44-F44,"")</f>
        <v/>
      </c>
      <c r="I44" s="2"/>
    </row>
    <row r="45" customFormat="false" ht="13.8" hidden="false" customHeight="false" outlineLevel="0" collapsed="false">
      <c r="A45" s="3"/>
      <c r="B45" s="3"/>
      <c r="C45" s="3" t="s">
        <v>3</v>
      </c>
      <c r="D45" s="3" t="s">
        <v>3</v>
      </c>
      <c r="E45" s="6" t="str">
        <f aca="false">IFERROR(ROUND(SQRT((VLOOKUP(A45,Zones!$B$2:$E$35,2,FALSE())-VLOOKUP(B45,Zones!$B$2:$E$35,2,FALSE()))^2+(VLOOKUP(A45,Zones!$B$2:$E$35,3,FALSE())-VLOOKUP(B45,Zones!$B$2:$E$35,3,FALSE()))^2+(VLOOKUP(A45,Zones!$B$2:$E$35,4,FALSE())-VLOOKUP(B45,Zones!$B$2:$E$35,4,FALSE()))^2),2),"")</f>
        <v/>
      </c>
      <c r="F45" s="6" t="str">
        <f aca="false">IFERROR(VLOOKUP(A45,Zones!$B$2:$E$35,4,FALSE()),"")</f>
        <v/>
      </c>
      <c r="G45" s="6" t="str">
        <f aca="false">IFERROR(VLOOKUP(B45,Zones!$B$2:$E$35,4,FALSE()),"")</f>
        <v/>
      </c>
      <c r="H45" s="6" t="str">
        <f aca="false">IFERROR(G45-F45,"")</f>
        <v/>
      </c>
      <c r="I45" s="2"/>
    </row>
    <row r="46" customFormat="false" ht="13.8" hidden="false" customHeight="false" outlineLevel="0" collapsed="false">
      <c r="A46" s="3"/>
      <c r="B46" s="3"/>
      <c r="C46" s="3" t="s">
        <v>3</v>
      </c>
      <c r="D46" s="3" t="s">
        <v>3</v>
      </c>
      <c r="E46" s="6" t="str">
        <f aca="false">IFERROR(ROUND(SQRT((VLOOKUP(A46,Zones!$B$2:$E$35,2,FALSE())-VLOOKUP(B46,Zones!$B$2:$E$35,2,FALSE()))^2+(VLOOKUP(A46,Zones!$B$2:$E$35,3,FALSE())-VLOOKUP(B46,Zones!$B$2:$E$35,3,FALSE()))^2+(VLOOKUP(A46,Zones!$B$2:$E$35,4,FALSE())-VLOOKUP(B46,Zones!$B$2:$E$35,4,FALSE()))^2),2),"")</f>
        <v/>
      </c>
      <c r="F46" s="6" t="str">
        <f aca="false">IFERROR(VLOOKUP(A46,Zones!$B$2:$E$35,4,FALSE()),"")</f>
        <v/>
      </c>
      <c r="G46" s="6" t="str">
        <f aca="false">IFERROR(VLOOKUP(B46,Zones!$B$2:$E$35,4,FALSE()),"")</f>
        <v/>
      </c>
      <c r="H46" s="6" t="str">
        <f aca="false">IFERROR(G46-F46,"")</f>
        <v/>
      </c>
      <c r="I46" s="2"/>
    </row>
    <row r="47" customFormat="false" ht="13.8" hidden="false" customHeight="false" outlineLevel="0" collapsed="false">
      <c r="A47" s="3"/>
      <c r="B47" s="3"/>
      <c r="C47" s="3" t="s">
        <v>3</v>
      </c>
      <c r="D47" s="3" t="s">
        <v>3</v>
      </c>
      <c r="E47" s="6" t="str">
        <f aca="false">IFERROR(ROUND(SQRT((VLOOKUP(A47,Zones!$B$2:$E$35,2,FALSE())-VLOOKUP(B47,Zones!$B$2:$E$35,2,FALSE()))^2+(VLOOKUP(A47,Zones!$B$2:$E$35,3,FALSE())-VLOOKUP(B47,Zones!$B$2:$E$35,3,FALSE()))^2+(VLOOKUP(A47,Zones!$B$2:$E$35,4,FALSE())-VLOOKUP(B47,Zones!$B$2:$E$35,4,FALSE()))^2),2),"")</f>
        <v/>
      </c>
      <c r="F47" s="6" t="str">
        <f aca="false">IFERROR(VLOOKUP(A47,Zones!$B$2:$E$35,4,FALSE()),"")</f>
        <v/>
      </c>
      <c r="G47" s="6" t="str">
        <f aca="false">IFERROR(VLOOKUP(B47,Zones!$B$2:$E$35,4,FALSE()),"")</f>
        <v/>
      </c>
      <c r="H47" s="6" t="str">
        <f aca="false">IFERROR(G47-F47,"")</f>
        <v/>
      </c>
      <c r="I47" s="2"/>
    </row>
    <row r="48" customFormat="false" ht="13.8" hidden="false" customHeight="false" outlineLevel="0" collapsed="false">
      <c r="A48" s="3"/>
      <c r="B48" s="3"/>
      <c r="C48" s="3" t="s">
        <v>3</v>
      </c>
      <c r="D48" s="3" t="s">
        <v>3</v>
      </c>
      <c r="E48" s="6" t="str">
        <f aca="false">IFERROR(ROUND(SQRT((VLOOKUP(A48,Zones!$B$2:$E$35,2,FALSE())-VLOOKUP(B48,Zones!$B$2:$E$35,2,FALSE()))^2+(VLOOKUP(A48,Zones!$B$2:$E$35,3,FALSE())-VLOOKUP(B48,Zones!$B$2:$E$35,3,FALSE()))^2+(VLOOKUP(A48,Zones!$B$2:$E$35,4,FALSE())-VLOOKUP(B48,Zones!$B$2:$E$35,4,FALSE()))^2),2),"")</f>
        <v/>
      </c>
      <c r="F48" s="6" t="str">
        <f aca="false">IFERROR(VLOOKUP(A48,Zones!$B$2:$E$35,4,FALSE()),"")</f>
        <v/>
      </c>
      <c r="G48" s="6" t="str">
        <f aca="false">IFERROR(VLOOKUP(B48,Zones!$B$2:$E$35,4,FALSE()),"")</f>
        <v/>
      </c>
      <c r="H48" s="6" t="str">
        <f aca="false">IFERROR(G48-F48,"")</f>
        <v/>
      </c>
      <c r="I48" s="2"/>
    </row>
    <row r="49" customFormat="false" ht="13.8" hidden="false" customHeight="false" outlineLevel="0" collapsed="false">
      <c r="A49" s="3"/>
      <c r="B49" s="3"/>
      <c r="C49" s="3" t="s">
        <v>3</v>
      </c>
      <c r="D49" s="3" t="s">
        <v>3</v>
      </c>
      <c r="E49" s="6" t="str">
        <f aca="false">IFERROR(ROUND(SQRT((VLOOKUP(A49,Zones!$B$2:$E$35,2,FALSE())-VLOOKUP(B49,Zones!$B$2:$E$35,2,FALSE()))^2+(VLOOKUP(A49,Zones!$B$2:$E$35,3,FALSE())-VLOOKUP(B49,Zones!$B$2:$E$35,3,FALSE()))^2+(VLOOKUP(A49,Zones!$B$2:$E$35,4,FALSE())-VLOOKUP(B49,Zones!$B$2:$E$35,4,FALSE()))^2),2),"")</f>
        <v/>
      </c>
      <c r="F49" s="6" t="str">
        <f aca="false">IFERROR(VLOOKUP(A49,Zones!$B$2:$E$35,4,FALSE()),"")</f>
        <v/>
      </c>
      <c r="G49" s="6" t="str">
        <f aca="false">IFERROR(VLOOKUP(B49,Zones!$B$2:$E$35,4,FALSE()),"")</f>
        <v/>
      </c>
      <c r="H49" s="6" t="str">
        <f aca="false">IFERROR(G49-F49,"")</f>
        <v/>
      </c>
      <c r="I49" s="2"/>
    </row>
    <row r="50" customFormat="false" ht="13.8" hidden="false" customHeight="false" outlineLevel="0" collapsed="false">
      <c r="A50" s="3"/>
      <c r="B50" s="3"/>
      <c r="C50" s="3" t="s">
        <v>3</v>
      </c>
      <c r="D50" s="3" t="s">
        <v>3</v>
      </c>
      <c r="E50" s="6" t="str">
        <f aca="false">IFERROR(ROUND(SQRT((VLOOKUP(A50,Zones!$B$2:$E$35,2,FALSE())-VLOOKUP(B50,Zones!$B$2:$E$35,2,FALSE()))^2+(VLOOKUP(A50,Zones!$B$2:$E$35,3,FALSE())-VLOOKUP(B50,Zones!$B$2:$E$35,3,FALSE()))^2+(VLOOKUP(A50,Zones!$B$2:$E$35,4,FALSE())-VLOOKUP(B50,Zones!$B$2:$E$35,4,FALSE()))^2),2),"")</f>
        <v/>
      </c>
      <c r="F50" s="6" t="str">
        <f aca="false">IFERROR(VLOOKUP(A50,Zones!$B$2:$E$35,4,FALSE()),"")</f>
        <v/>
      </c>
      <c r="G50" s="6" t="str">
        <f aca="false">IFERROR(VLOOKUP(B50,Zones!$B$2:$E$35,4,FALSE()),"")</f>
        <v/>
      </c>
      <c r="H50" s="6" t="str">
        <f aca="false">IFERROR(G50-F50,"")</f>
        <v/>
      </c>
      <c r="I50" s="2"/>
    </row>
    <row r="51" customFormat="false" ht="13.8" hidden="false" customHeight="false" outlineLevel="0" collapsed="false">
      <c r="A51" s="3"/>
      <c r="B51" s="3"/>
      <c r="C51" s="3" t="s">
        <v>3</v>
      </c>
      <c r="D51" s="3" t="s">
        <v>3</v>
      </c>
      <c r="E51" s="6" t="str">
        <f aca="false">IFERROR(ROUND(SQRT((VLOOKUP(A51,Zones!$B$2:$E$35,2,FALSE())-VLOOKUP(B51,Zones!$B$2:$E$35,2,FALSE()))^2+(VLOOKUP(A51,Zones!$B$2:$E$35,3,FALSE())-VLOOKUP(B51,Zones!$B$2:$E$35,3,FALSE()))^2+(VLOOKUP(A51,Zones!$B$2:$E$35,4,FALSE())-VLOOKUP(B51,Zones!$B$2:$E$35,4,FALSE()))^2),2),"")</f>
        <v/>
      </c>
      <c r="F51" s="6" t="str">
        <f aca="false">IFERROR(VLOOKUP(A51,Zones!$B$2:$E$35,4,FALSE()),"")</f>
        <v/>
      </c>
      <c r="G51" s="6" t="str">
        <f aca="false">IFERROR(VLOOKUP(B51,Zones!$B$2:$E$35,4,FALSE()),"")</f>
        <v/>
      </c>
      <c r="H51" s="6" t="str">
        <f aca="false">IFERROR(G51-F51,"")</f>
        <v/>
      </c>
      <c r="I51" s="2"/>
    </row>
    <row r="52" customFormat="false" ht="13.8" hidden="false" customHeight="false" outlineLevel="0" collapsed="false">
      <c r="A52" s="3"/>
      <c r="B52" s="3"/>
      <c r="C52" s="3" t="s">
        <v>3</v>
      </c>
      <c r="D52" s="3" t="s">
        <v>3</v>
      </c>
      <c r="E52" s="6" t="str">
        <f aca="false">IFERROR(ROUND(SQRT((VLOOKUP(A52,Zones!$B$2:$E$35,2,FALSE())-VLOOKUP(B52,Zones!$B$2:$E$35,2,FALSE()))^2+(VLOOKUP(A52,Zones!$B$2:$E$35,3,FALSE())-VLOOKUP(B52,Zones!$B$2:$E$35,3,FALSE()))^2+(VLOOKUP(A52,Zones!$B$2:$E$35,4,FALSE())-VLOOKUP(B52,Zones!$B$2:$E$35,4,FALSE()))^2),2),"")</f>
        <v/>
      </c>
      <c r="F52" s="6" t="str">
        <f aca="false">IFERROR(VLOOKUP(A52,Zones!$B$2:$E$35,4,FALSE()),"")</f>
        <v/>
      </c>
      <c r="G52" s="6" t="str">
        <f aca="false">IFERROR(VLOOKUP(B52,Zones!$B$2:$E$35,4,FALSE()),"")</f>
        <v/>
      </c>
      <c r="H52" s="6" t="str">
        <f aca="false">IFERROR(G52-F52,"")</f>
        <v/>
      </c>
      <c r="I52" s="2"/>
    </row>
    <row r="53" customFormat="false" ht="13.8" hidden="false" customHeight="false" outlineLevel="0" collapsed="false">
      <c r="A53" s="3"/>
      <c r="B53" s="3"/>
      <c r="C53" s="3" t="s">
        <v>3</v>
      </c>
      <c r="D53" s="3" t="s">
        <v>3</v>
      </c>
      <c r="E53" s="6" t="str">
        <f aca="false">IFERROR(ROUND(SQRT((VLOOKUP(A53,Zones!$B$2:$E$35,2,FALSE())-VLOOKUP(B53,Zones!$B$2:$E$35,2,FALSE()))^2+(VLOOKUP(A53,Zones!$B$2:$E$35,3,FALSE())-VLOOKUP(B53,Zones!$B$2:$E$35,3,FALSE()))^2+(VLOOKUP(A53,Zones!$B$2:$E$35,4,FALSE())-VLOOKUP(B53,Zones!$B$2:$E$35,4,FALSE()))^2),2),"")</f>
        <v/>
      </c>
      <c r="F53" s="6" t="str">
        <f aca="false">IFERROR(VLOOKUP(A53,Zones!$B$2:$E$35,4,FALSE()),"")</f>
        <v/>
      </c>
      <c r="G53" s="6" t="str">
        <f aca="false">IFERROR(VLOOKUP(B53,Zones!$B$2:$E$35,4,FALSE()),"")</f>
        <v/>
      </c>
      <c r="H53" s="6" t="str">
        <f aca="false">IFERROR(G53-F53,"")</f>
        <v/>
      </c>
      <c r="I53" s="2"/>
    </row>
    <row r="54" customFormat="false" ht="13.8" hidden="false" customHeight="false" outlineLevel="0" collapsed="false">
      <c r="A54" s="3"/>
      <c r="B54" s="3"/>
      <c r="C54" s="3" t="s">
        <v>3</v>
      </c>
      <c r="D54" s="3" t="s">
        <v>3</v>
      </c>
      <c r="E54" s="6" t="str">
        <f aca="false">IFERROR(ROUND(SQRT((VLOOKUP(A54,Zones!$B$2:$E$35,2,FALSE())-VLOOKUP(B54,Zones!$B$2:$E$35,2,FALSE()))^2+(VLOOKUP(A54,Zones!$B$2:$E$35,3,FALSE())-VLOOKUP(B54,Zones!$B$2:$E$35,3,FALSE()))^2+(VLOOKUP(A54,Zones!$B$2:$E$35,4,FALSE())-VLOOKUP(B54,Zones!$B$2:$E$35,4,FALSE()))^2),2),"")</f>
        <v/>
      </c>
      <c r="F54" s="6" t="str">
        <f aca="false">IFERROR(VLOOKUP(A54,Zones!$B$2:$E$35,4,FALSE()),"")</f>
        <v/>
      </c>
      <c r="G54" s="6" t="str">
        <f aca="false">IFERROR(VLOOKUP(B54,Zones!$B$2:$E$35,4,FALSE()),"")</f>
        <v/>
      </c>
      <c r="H54" s="6" t="str">
        <f aca="false">IFERROR(G54-F54,"")</f>
        <v/>
      </c>
      <c r="I54" s="2"/>
    </row>
    <row r="55" customFormat="false" ht="13.8" hidden="false" customHeight="false" outlineLevel="0" collapsed="false">
      <c r="A55" s="3"/>
      <c r="B55" s="3"/>
      <c r="C55" s="3" t="s">
        <v>3</v>
      </c>
      <c r="D55" s="3" t="s">
        <v>3</v>
      </c>
      <c r="E55" s="6" t="str">
        <f aca="false">IFERROR(ROUND(SQRT((VLOOKUP(A55,Zones!$B$2:$E$35,2,FALSE())-VLOOKUP(B55,Zones!$B$2:$E$35,2,FALSE()))^2+(VLOOKUP(A55,Zones!$B$2:$E$35,3,FALSE())-VLOOKUP(B55,Zones!$B$2:$E$35,3,FALSE()))^2+(VLOOKUP(A55,Zones!$B$2:$E$35,4,FALSE())-VLOOKUP(B55,Zones!$B$2:$E$35,4,FALSE()))^2),2),"")</f>
        <v/>
      </c>
      <c r="F55" s="6" t="str">
        <f aca="false">IFERROR(VLOOKUP(A55,Zones!$B$2:$E$35,4,FALSE()),"")</f>
        <v/>
      </c>
      <c r="G55" s="6" t="str">
        <f aca="false">IFERROR(VLOOKUP(B55,Zones!$B$2:$E$35,4,FALSE()),"")</f>
        <v/>
      </c>
      <c r="H55" s="6" t="str">
        <f aca="false">IFERROR(G55-F55,"")</f>
        <v/>
      </c>
      <c r="I55" s="2"/>
    </row>
    <row r="56" customFormat="false" ht="13.8" hidden="false" customHeight="false" outlineLevel="0" collapsed="false">
      <c r="A56" s="3"/>
      <c r="B56" s="3"/>
      <c r="C56" s="3" t="s">
        <v>3</v>
      </c>
      <c r="D56" s="3" t="s">
        <v>3</v>
      </c>
      <c r="E56" s="6" t="str">
        <f aca="false">IFERROR(ROUND(SQRT((VLOOKUP(A56,Zones!$B$2:$E$35,2,FALSE())-VLOOKUP(B56,Zones!$B$2:$E$35,2,FALSE()))^2+(VLOOKUP(A56,Zones!$B$2:$E$35,3,FALSE())-VLOOKUP(B56,Zones!$B$2:$E$35,3,FALSE()))^2+(VLOOKUP(A56,Zones!$B$2:$E$35,4,FALSE())-VLOOKUP(B56,Zones!$B$2:$E$35,4,FALSE()))^2),2),"")</f>
        <v/>
      </c>
      <c r="F56" s="6" t="str">
        <f aca="false">IFERROR(VLOOKUP(A56,Zones!$B$2:$E$35,4,FALSE()),"")</f>
        <v/>
      </c>
      <c r="G56" s="6" t="str">
        <f aca="false">IFERROR(VLOOKUP(B56,Zones!$B$2:$E$35,4,FALSE()),"")</f>
        <v/>
      </c>
      <c r="H56" s="6" t="str">
        <f aca="false">IFERROR(G56-F56,"")</f>
        <v/>
      </c>
      <c r="I56" s="2"/>
    </row>
    <row r="57" customFormat="false" ht="13.8" hidden="false" customHeight="false" outlineLevel="0" collapsed="false">
      <c r="A57" s="3"/>
      <c r="B57" s="3"/>
      <c r="C57" s="3" t="s">
        <v>3</v>
      </c>
      <c r="D57" s="3" t="s">
        <v>3</v>
      </c>
      <c r="E57" s="6" t="str">
        <f aca="false">IFERROR(ROUND(SQRT((VLOOKUP(A57,Zones!$B$2:$E$35,2,FALSE())-VLOOKUP(B57,Zones!$B$2:$E$35,2,FALSE()))^2+(VLOOKUP(A57,Zones!$B$2:$E$35,3,FALSE())-VLOOKUP(B57,Zones!$B$2:$E$35,3,FALSE()))^2+(VLOOKUP(A57,Zones!$B$2:$E$35,4,FALSE())-VLOOKUP(B57,Zones!$B$2:$E$35,4,FALSE()))^2),2),"")</f>
        <v/>
      </c>
      <c r="F57" s="6" t="str">
        <f aca="false">IFERROR(VLOOKUP(A57,Zones!$B$2:$E$35,4,FALSE()),"")</f>
        <v/>
      </c>
      <c r="G57" s="6" t="str">
        <f aca="false">IFERROR(VLOOKUP(B57,Zones!$B$2:$E$35,4,FALSE()),"")</f>
        <v/>
      </c>
      <c r="H57" s="6" t="str">
        <f aca="false">IFERROR(G57-F57,"")</f>
        <v/>
      </c>
      <c r="I57" s="2"/>
    </row>
    <row r="58" customFormat="false" ht="13.8" hidden="false" customHeight="false" outlineLevel="0" collapsed="false">
      <c r="A58" s="3"/>
      <c r="B58" s="3"/>
      <c r="C58" s="3" t="s">
        <v>3</v>
      </c>
      <c r="D58" s="3" t="s">
        <v>3</v>
      </c>
      <c r="E58" s="6" t="str">
        <f aca="false">IFERROR(ROUND(SQRT((VLOOKUP(A58,Zones!$B$2:$E$35,2,FALSE())-VLOOKUP(B58,Zones!$B$2:$E$35,2,FALSE()))^2+(VLOOKUP(A58,Zones!$B$2:$E$35,3,FALSE())-VLOOKUP(B58,Zones!$B$2:$E$35,3,FALSE()))^2+(VLOOKUP(A58,Zones!$B$2:$E$35,4,FALSE())-VLOOKUP(B58,Zones!$B$2:$E$35,4,FALSE()))^2),2),"")</f>
        <v/>
      </c>
      <c r="F58" s="6" t="str">
        <f aca="false">IFERROR(VLOOKUP(A58,Zones!$B$2:$E$35,4,FALSE()),"")</f>
        <v/>
      </c>
      <c r="G58" s="6" t="str">
        <f aca="false">IFERROR(VLOOKUP(B58,Zones!$B$2:$E$35,4,FALSE()),"")</f>
        <v/>
      </c>
      <c r="H58" s="6" t="str">
        <f aca="false">IFERROR(G58-F58,"")</f>
        <v/>
      </c>
      <c r="I58" s="2"/>
    </row>
    <row r="59" customFormat="false" ht="13.8" hidden="false" customHeight="false" outlineLevel="0" collapsed="false">
      <c r="A59" s="3"/>
      <c r="B59" s="3"/>
      <c r="C59" s="3" t="s">
        <v>3</v>
      </c>
      <c r="D59" s="3" t="s">
        <v>3</v>
      </c>
      <c r="E59" s="6" t="str">
        <f aca="false">IFERROR(ROUND(SQRT((VLOOKUP(A59,Zones!$B$2:$E$35,2,FALSE())-VLOOKUP(B59,Zones!$B$2:$E$35,2,FALSE()))^2+(VLOOKUP(A59,Zones!$B$2:$E$35,3,FALSE())-VLOOKUP(B59,Zones!$B$2:$E$35,3,FALSE()))^2+(VLOOKUP(A59,Zones!$B$2:$E$35,4,FALSE())-VLOOKUP(B59,Zones!$B$2:$E$35,4,FALSE()))^2),2),"")</f>
        <v/>
      </c>
      <c r="F59" s="6" t="str">
        <f aca="false">IFERROR(VLOOKUP(A59,Zones!$B$2:$E$35,4,FALSE()),"")</f>
        <v/>
      </c>
      <c r="G59" s="6" t="str">
        <f aca="false">IFERROR(VLOOKUP(B59,Zones!$B$2:$E$35,4,FALSE()),"")</f>
        <v/>
      </c>
      <c r="H59" s="6" t="str">
        <f aca="false">IFERROR(G59-F59,"")</f>
        <v/>
      </c>
      <c r="I59" s="2"/>
    </row>
    <row r="60" customFormat="false" ht="13.8" hidden="false" customHeight="false" outlineLevel="0" collapsed="false">
      <c r="A60" s="3"/>
      <c r="B60" s="3"/>
      <c r="C60" s="3" t="s">
        <v>3</v>
      </c>
      <c r="D60" s="3" t="s">
        <v>3</v>
      </c>
      <c r="E60" s="6" t="str">
        <f aca="false">IFERROR(ROUND(SQRT((VLOOKUP(A60,Zones!$B$2:$E$35,2,FALSE())-VLOOKUP(B60,Zones!$B$2:$E$35,2,FALSE()))^2+(VLOOKUP(A60,Zones!$B$2:$E$35,3,FALSE())-VLOOKUP(B60,Zones!$B$2:$E$35,3,FALSE()))^2+(VLOOKUP(A60,Zones!$B$2:$E$35,4,FALSE())-VLOOKUP(B60,Zones!$B$2:$E$35,4,FALSE()))^2),2),"")</f>
        <v/>
      </c>
      <c r="F60" s="6" t="str">
        <f aca="false">IFERROR(VLOOKUP(A60,Zones!$B$2:$E$35,4,FALSE()),"")</f>
        <v/>
      </c>
      <c r="G60" s="6" t="str">
        <f aca="false">IFERROR(VLOOKUP(B60,Zones!$B$2:$E$35,4,FALSE()),"")</f>
        <v/>
      </c>
      <c r="H60" s="6" t="str">
        <f aca="false">IFERROR(G60-F60,"")</f>
        <v/>
      </c>
      <c r="I60" s="2"/>
    </row>
    <row r="61" customFormat="false" ht="13.8" hidden="false" customHeight="false" outlineLevel="0" collapsed="false">
      <c r="A61" s="3"/>
      <c r="B61" s="3"/>
      <c r="C61" s="3" t="s">
        <v>3</v>
      </c>
      <c r="D61" s="3" t="s">
        <v>3</v>
      </c>
      <c r="E61" s="6" t="str">
        <f aca="false">IFERROR(ROUND(SQRT((VLOOKUP(A61,Zones!$B$2:$E$35,2,FALSE())-VLOOKUP(B61,Zones!$B$2:$E$35,2,FALSE()))^2+(VLOOKUP(A61,Zones!$B$2:$E$35,3,FALSE())-VLOOKUP(B61,Zones!$B$2:$E$35,3,FALSE()))^2+(VLOOKUP(A61,Zones!$B$2:$E$35,4,FALSE())-VLOOKUP(B61,Zones!$B$2:$E$35,4,FALSE()))^2),2),"")</f>
        <v/>
      </c>
      <c r="F61" s="6" t="str">
        <f aca="false">IFERROR(VLOOKUP(A61,Zones!$B$2:$E$35,4,FALSE()),"")</f>
        <v/>
      </c>
      <c r="G61" s="6" t="str">
        <f aca="false">IFERROR(VLOOKUP(B61,Zones!$B$2:$E$35,4,FALSE()),"")</f>
        <v/>
      </c>
      <c r="H61" s="6" t="str">
        <f aca="false">IFERROR(G61-F61,"")</f>
        <v/>
      </c>
      <c r="I61" s="2"/>
    </row>
    <row r="62" customFormat="false" ht="13.8" hidden="false" customHeight="false" outlineLevel="0" collapsed="false">
      <c r="A62" s="3"/>
      <c r="B62" s="3"/>
      <c r="C62" s="3" t="s">
        <v>3</v>
      </c>
      <c r="D62" s="3" t="s">
        <v>3</v>
      </c>
      <c r="E62" s="6" t="str">
        <f aca="false">IFERROR(ROUND(SQRT((VLOOKUP(A62,Zones!$B$2:$E$35,2,FALSE())-VLOOKUP(B62,Zones!$B$2:$E$35,2,FALSE()))^2+(VLOOKUP(A62,Zones!$B$2:$E$35,3,FALSE())-VLOOKUP(B62,Zones!$B$2:$E$35,3,FALSE()))^2+(VLOOKUP(A62,Zones!$B$2:$E$35,4,FALSE())-VLOOKUP(B62,Zones!$B$2:$E$35,4,FALSE()))^2),2),"")</f>
        <v/>
      </c>
      <c r="F62" s="6" t="str">
        <f aca="false">IFERROR(VLOOKUP(A62,Zones!$B$2:$E$35,4,FALSE()),"")</f>
        <v/>
      </c>
      <c r="G62" s="6" t="str">
        <f aca="false">IFERROR(VLOOKUP(B62,Zones!$B$2:$E$35,4,FALSE()),"")</f>
        <v/>
      </c>
      <c r="H62" s="6" t="str">
        <f aca="false">IFERROR(G62-F62,"")</f>
        <v/>
      </c>
      <c r="I62" s="2"/>
    </row>
    <row r="63" customFormat="false" ht="13.8" hidden="false" customHeight="false" outlineLevel="0" collapsed="false">
      <c r="A63" s="3"/>
      <c r="B63" s="3"/>
      <c r="C63" s="3" t="s">
        <v>3</v>
      </c>
      <c r="D63" s="3" t="s">
        <v>3</v>
      </c>
      <c r="E63" s="6" t="str">
        <f aca="false">IFERROR(ROUND(SQRT((VLOOKUP(A63,Zones!$B$2:$E$35,2,FALSE())-VLOOKUP(B63,Zones!$B$2:$E$35,2,FALSE()))^2+(VLOOKUP(A63,Zones!$B$2:$E$35,3,FALSE())-VLOOKUP(B63,Zones!$B$2:$E$35,3,FALSE()))^2+(VLOOKUP(A63,Zones!$B$2:$E$35,4,FALSE())-VLOOKUP(B63,Zones!$B$2:$E$35,4,FALSE()))^2),2),"")</f>
        <v/>
      </c>
      <c r="F63" s="6" t="str">
        <f aca="false">IFERROR(VLOOKUP(A63,Zones!$B$2:$E$35,4,FALSE()),"")</f>
        <v/>
      </c>
      <c r="G63" s="6" t="str">
        <f aca="false">IFERROR(VLOOKUP(B63,Zones!$B$2:$E$35,4,FALSE()),"")</f>
        <v/>
      </c>
      <c r="H63" s="6" t="str">
        <f aca="false">IFERROR(G63-F63,"")</f>
        <v/>
      </c>
      <c r="I63" s="2"/>
    </row>
    <row r="64" customFormat="false" ht="13.8" hidden="false" customHeight="false" outlineLevel="0" collapsed="false">
      <c r="A64" s="3"/>
      <c r="B64" s="3"/>
      <c r="C64" s="3" t="s">
        <v>3</v>
      </c>
      <c r="D64" s="3" t="s">
        <v>3</v>
      </c>
      <c r="E64" s="6" t="str">
        <f aca="false">IFERROR(ROUND(SQRT((VLOOKUP(A64,Zones!$B$2:$E$35,2,FALSE())-VLOOKUP(B64,Zones!$B$2:$E$35,2,FALSE()))^2+(VLOOKUP(A64,Zones!$B$2:$E$35,3,FALSE())-VLOOKUP(B64,Zones!$B$2:$E$35,3,FALSE()))^2+(VLOOKUP(A64,Zones!$B$2:$E$35,4,FALSE())-VLOOKUP(B64,Zones!$B$2:$E$35,4,FALSE()))^2),2),"")</f>
        <v/>
      </c>
      <c r="F64" s="6" t="str">
        <f aca="false">IFERROR(VLOOKUP(A64,Zones!$B$2:$E$35,4,FALSE()),"")</f>
        <v/>
      </c>
      <c r="G64" s="6" t="str">
        <f aca="false">IFERROR(VLOOKUP(B64,Zones!$B$2:$E$35,4,FALSE()),"")</f>
        <v/>
      </c>
      <c r="H64" s="6" t="str">
        <f aca="false">IFERROR(G64-F64,"")</f>
        <v/>
      </c>
      <c r="I64" s="2"/>
    </row>
    <row r="65" customFormat="false" ht="13.8" hidden="false" customHeight="false" outlineLevel="0" collapsed="false">
      <c r="A65" s="3"/>
      <c r="B65" s="3"/>
      <c r="C65" s="3" t="s">
        <v>3</v>
      </c>
      <c r="D65" s="3" t="s">
        <v>3</v>
      </c>
      <c r="E65" s="6" t="str">
        <f aca="false">IFERROR(ROUND(SQRT((VLOOKUP(A65,Zones!$B$2:$E$35,2,FALSE())-VLOOKUP(B65,Zones!$B$2:$E$35,2,FALSE()))^2+(VLOOKUP(A65,Zones!$B$2:$E$35,3,FALSE())-VLOOKUP(B65,Zones!$B$2:$E$35,3,FALSE()))^2+(VLOOKUP(A65,Zones!$B$2:$E$35,4,FALSE())-VLOOKUP(B65,Zones!$B$2:$E$35,4,FALSE()))^2),2),"")</f>
        <v/>
      </c>
      <c r="F65" s="6" t="str">
        <f aca="false">IFERROR(VLOOKUP(A65,Zones!$B$2:$E$35,4,FALSE()),"")</f>
        <v/>
      </c>
      <c r="G65" s="6" t="str">
        <f aca="false">IFERROR(VLOOKUP(B65,Zones!$B$2:$E$35,4,FALSE()),"")</f>
        <v/>
      </c>
      <c r="H65" s="6" t="str">
        <f aca="false">IFERROR(G65-F65,"")</f>
        <v/>
      </c>
      <c r="I65" s="2"/>
    </row>
    <row r="66" customFormat="false" ht="13.8" hidden="false" customHeight="false" outlineLevel="0" collapsed="false">
      <c r="A66" s="3"/>
      <c r="B66" s="3"/>
      <c r="C66" s="3" t="s">
        <v>3</v>
      </c>
      <c r="D66" s="3" t="s">
        <v>3</v>
      </c>
      <c r="E66" s="6" t="str">
        <f aca="false">IFERROR(ROUND(SQRT((VLOOKUP(A66,Zones!$B$2:$E$35,2,FALSE())-VLOOKUP(B66,Zones!$B$2:$E$35,2,FALSE()))^2+(VLOOKUP(A66,Zones!$B$2:$E$35,3,FALSE())-VLOOKUP(B66,Zones!$B$2:$E$35,3,FALSE()))^2+(VLOOKUP(A66,Zones!$B$2:$E$35,4,FALSE())-VLOOKUP(B66,Zones!$B$2:$E$35,4,FALSE()))^2),2),"")</f>
        <v/>
      </c>
      <c r="F66" s="6" t="str">
        <f aca="false">IFERROR(VLOOKUP(A66,Zones!$B$2:$E$35,4,FALSE()),"")</f>
        <v/>
      </c>
      <c r="G66" s="6" t="str">
        <f aca="false">IFERROR(VLOOKUP(B66,Zones!$B$2:$E$35,4,FALSE()),"")</f>
        <v/>
      </c>
      <c r="H66" s="6" t="str">
        <f aca="false">IFERROR(G66-F66,"")</f>
        <v/>
      </c>
      <c r="I66" s="2"/>
    </row>
    <row r="67" customFormat="false" ht="13.8" hidden="false" customHeight="false" outlineLevel="0" collapsed="false">
      <c r="A67" s="3"/>
      <c r="B67" s="3"/>
      <c r="C67" s="3" t="s">
        <v>3</v>
      </c>
      <c r="D67" s="3" t="s">
        <v>3</v>
      </c>
      <c r="E67" s="6" t="str">
        <f aca="false">IFERROR(ROUND(SQRT((VLOOKUP(A67,Zones!$B$2:$E$35,2,FALSE())-VLOOKUP(B67,Zones!$B$2:$E$35,2,FALSE()))^2+(VLOOKUP(A67,Zones!$B$2:$E$35,3,FALSE())-VLOOKUP(B67,Zones!$B$2:$E$35,3,FALSE()))^2+(VLOOKUP(A67,Zones!$B$2:$E$35,4,FALSE())-VLOOKUP(B67,Zones!$B$2:$E$35,4,FALSE()))^2),2),"")</f>
        <v/>
      </c>
      <c r="F67" s="6" t="str">
        <f aca="false">IFERROR(VLOOKUP(A67,Zones!$B$2:$E$35,4,FALSE()),"")</f>
        <v/>
      </c>
      <c r="G67" s="6" t="str">
        <f aca="false">IFERROR(VLOOKUP(B67,Zones!$B$2:$E$35,4,FALSE()),"")</f>
        <v/>
      </c>
      <c r="H67" s="6" t="str">
        <f aca="false">IFERROR(G67-F67,"")</f>
        <v/>
      </c>
      <c r="I67" s="2"/>
    </row>
    <row r="68" customFormat="false" ht="13.8" hidden="false" customHeight="false" outlineLevel="0" collapsed="false">
      <c r="A68" s="3"/>
      <c r="B68" s="3"/>
      <c r="C68" s="3" t="s">
        <v>3</v>
      </c>
      <c r="D68" s="3" t="s">
        <v>3</v>
      </c>
      <c r="E68" s="6" t="str">
        <f aca="false">IFERROR(ROUND(SQRT((VLOOKUP(A68,Zones!$B$2:$E$35,2,FALSE())-VLOOKUP(B68,Zones!$B$2:$E$35,2,FALSE()))^2+(VLOOKUP(A68,Zones!$B$2:$E$35,3,FALSE())-VLOOKUP(B68,Zones!$B$2:$E$35,3,FALSE()))^2+(VLOOKUP(A68,Zones!$B$2:$E$35,4,FALSE())-VLOOKUP(B68,Zones!$B$2:$E$35,4,FALSE()))^2),2),"")</f>
        <v/>
      </c>
      <c r="F68" s="6" t="str">
        <f aca="false">IFERROR(VLOOKUP(A68,Zones!$B$2:$E$35,4,FALSE()),"")</f>
        <v/>
      </c>
      <c r="G68" s="6" t="str">
        <f aca="false">IFERROR(VLOOKUP(B68,Zones!$B$2:$E$35,4,FALSE()),"")</f>
        <v/>
      </c>
      <c r="H68" s="6" t="str">
        <f aca="false">IFERROR(G68-F68,"")</f>
        <v/>
      </c>
      <c r="I68" s="2"/>
    </row>
    <row r="69" customFormat="false" ht="13.8" hidden="false" customHeight="false" outlineLevel="0" collapsed="false">
      <c r="A69" s="3"/>
      <c r="B69" s="3"/>
      <c r="C69" s="3" t="s">
        <v>3</v>
      </c>
      <c r="D69" s="3" t="s">
        <v>3</v>
      </c>
      <c r="E69" s="6" t="str">
        <f aca="false">IFERROR(ROUND(SQRT((VLOOKUP(A69,Zones!$B$2:$E$35,2,FALSE())-VLOOKUP(B69,Zones!$B$2:$E$35,2,FALSE()))^2+(VLOOKUP(A69,Zones!$B$2:$E$35,3,FALSE())-VLOOKUP(B69,Zones!$B$2:$E$35,3,FALSE()))^2+(VLOOKUP(A69,Zones!$B$2:$E$35,4,FALSE())-VLOOKUP(B69,Zones!$B$2:$E$35,4,FALSE()))^2),2),"")</f>
        <v/>
      </c>
      <c r="F69" s="6" t="str">
        <f aca="false">IFERROR(VLOOKUP(A69,Zones!$B$2:$E$35,4,FALSE()),"")</f>
        <v/>
      </c>
      <c r="G69" s="6" t="str">
        <f aca="false">IFERROR(VLOOKUP(B69,Zones!$B$2:$E$35,4,FALSE()),"")</f>
        <v/>
      </c>
      <c r="H69" s="6" t="str">
        <f aca="false">IFERROR(G69-F69,"")</f>
        <v/>
      </c>
      <c r="I69" s="2"/>
    </row>
    <row r="70" customFormat="false" ht="13.8" hidden="false" customHeight="false" outlineLevel="0" collapsed="false">
      <c r="A70" s="3"/>
      <c r="B70" s="3"/>
      <c r="C70" s="3" t="s">
        <v>3</v>
      </c>
      <c r="D70" s="3" t="s">
        <v>3</v>
      </c>
      <c r="E70" s="6" t="str">
        <f aca="false">IFERROR(ROUND(SQRT((VLOOKUP(A70,Zones!$B$2:$E$35,2,FALSE())-VLOOKUP(B70,Zones!$B$2:$E$35,2,FALSE()))^2+(VLOOKUP(A70,Zones!$B$2:$E$35,3,FALSE())-VLOOKUP(B70,Zones!$B$2:$E$35,3,FALSE()))^2+(VLOOKUP(A70,Zones!$B$2:$E$35,4,FALSE())-VLOOKUP(B70,Zones!$B$2:$E$35,4,FALSE()))^2),2),"")</f>
        <v/>
      </c>
      <c r="F70" s="6" t="str">
        <f aca="false">IFERROR(VLOOKUP(A70,Zones!$B$2:$E$35,4,FALSE()),"")</f>
        <v/>
      </c>
      <c r="G70" s="6" t="str">
        <f aca="false">IFERROR(VLOOKUP(B70,Zones!$B$2:$E$35,4,FALSE()),"")</f>
        <v/>
      </c>
      <c r="H70" s="6" t="str">
        <f aca="false">IFERROR(G70-F70,"")</f>
        <v/>
      </c>
      <c r="I70" s="2"/>
    </row>
    <row r="71" customFormat="false" ht="13.8" hidden="false" customHeight="false" outlineLevel="0" collapsed="false">
      <c r="A71" s="3"/>
      <c r="B71" s="3"/>
      <c r="C71" s="3" t="s">
        <v>3</v>
      </c>
      <c r="D71" s="3" t="s">
        <v>3</v>
      </c>
      <c r="E71" s="6" t="str">
        <f aca="false">IFERROR(ROUND(SQRT((VLOOKUP(A71,Zones!$B$2:$E$35,2,FALSE())-VLOOKUP(B71,Zones!$B$2:$E$35,2,FALSE()))^2+(VLOOKUP(A71,Zones!$B$2:$E$35,3,FALSE())-VLOOKUP(B71,Zones!$B$2:$E$35,3,FALSE()))^2+(VLOOKUP(A71,Zones!$B$2:$E$35,4,FALSE())-VLOOKUP(B71,Zones!$B$2:$E$35,4,FALSE()))^2),2),"")</f>
        <v/>
      </c>
      <c r="F71" s="6" t="str">
        <f aca="false">IFERROR(VLOOKUP(A71,Zones!$B$2:$E$35,4,FALSE()),"")</f>
        <v/>
      </c>
      <c r="G71" s="6" t="str">
        <f aca="false">IFERROR(VLOOKUP(B71,Zones!$B$2:$E$35,4,FALSE()),"")</f>
        <v/>
      </c>
      <c r="H71" s="6" t="str">
        <f aca="false">IFERROR(G71-F71,"")</f>
        <v/>
      </c>
      <c r="I71" s="2"/>
    </row>
    <row r="72" customFormat="false" ht="13.8" hidden="false" customHeight="false" outlineLevel="0" collapsed="false">
      <c r="A72" s="3"/>
      <c r="B72" s="3"/>
      <c r="C72" s="3" t="s">
        <v>3</v>
      </c>
      <c r="D72" s="3" t="s">
        <v>3</v>
      </c>
      <c r="E72" s="6" t="str">
        <f aca="false">IFERROR(ROUND(SQRT((VLOOKUP(A72,Zones!$B$2:$E$35,2,FALSE())-VLOOKUP(B72,Zones!$B$2:$E$35,2,FALSE()))^2+(VLOOKUP(A72,Zones!$B$2:$E$35,3,FALSE())-VLOOKUP(B72,Zones!$B$2:$E$35,3,FALSE()))^2+(VLOOKUP(A72,Zones!$B$2:$E$35,4,FALSE())-VLOOKUP(B72,Zones!$B$2:$E$35,4,FALSE()))^2),2),"")</f>
        <v/>
      </c>
      <c r="F72" s="6" t="str">
        <f aca="false">IFERROR(VLOOKUP(A72,Zones!$B$2:$E$35,4,FALSE()),"")</f>
        <v/>
      </c>
      <c r="G72" s="6" t="str">
        <f aca="false">IFERROR(VLOOKUP(B72,Zones!$B$2:$E$35,4,FALSE()),"")</f>
        <v/>
      </c>
      <c r="H72" s="6" t="str">
        <f aca="false">IFERROR(G72-F72,"")</f>
        <v/>
      </c>
      <c r="I72" s="2"/>
    </row>
    <row r="73" customFormat="false" ht="13.8" hidden="false" customHeight="false" outlineLevel="0" collapsed="false">
      <c r="A73" s="3"/>
      <c r="B73" s="3"/>
      <c r="C73" s="3" t="s">
        <v>3</v>
      </c>
      <c r="D73" s="3" t="s">
        <v>3</v>
      </c>
      <c r="E73" s="6" t="str">
        <f aca="false">IFERROR(ROUND(SQRT((VLOOKUP(A73,Zones!$B$2:$E$35,2,FALSE())-VLOOKUP(B73,Zones!$B$2:$E$35,2,FALSE()))^2+(VLOOKUP(A73,Zones!$B$2:$E$35,3,FALSE())-VLOOKUP(B73,Zones!$B$2:$E$35,3,FALSE()))^2+(VLOOKUP(A73,Zones!$B$2:$E$35,4,FALSE())-VLOOKUP(B73,Zones!$B$2:$E$35,4,FALSE()))^2),2),"")</f>
        <v/>
      </c>
      <c r="F73" s="6" t="str">
        <f aca="false">IFERROR(VLOOKUP(A73,Zones!$B$2:$E$35,4,FALSE()),"")</f>
        <v/>
      </c>
      <c r="G73" s="6" t="str">
        <f aca="false">IFERROR(VLOOKUP(B73,Zones!$B$2:$E$35,4,FALSE()),"")</f>
        <v/>
      </c>
      <c r="H73" s="6" t="str">
        <f aca="false">IFERROR(G73-F73,"")</f>
        <v/>
      </c>
      <c r="I73" s="2"/>
    </row>
    <row r="74" customFormat="false" ht="13.8" hidden="false" customHeight="false" outlineLevel="0" collapsed="false">
      <c r="A74" s="3"/>
      <c r="B74" s="3"/>
      <c r="C74" s="3" t="s">
        <v>3</v>
      </c>
      <c r="D74" s="3" t="s">
        <v>3</v>
      </c>
      <c r="E74" s="6" t="str">
        <f aca="false">IFERROR(ROUND(SQRT((VLOOKUP(A74,Zones!$B$2:$E$35,2,FALSE())-VLOOKUP(B74,Zones!$B$2:$E$35,2,FALSE()))^2+(VLOOKUP(A74,Zones!$B$2:$E$35,3,FALSE())-VLOOKUP(B74,Zones!$B$2:$E$35,3,FALSE()))^2+(VLOOKUP(A74,Zones!$B$2:$E$35,4,FALSE())-VLOOKUP(B74,Zones!$B$2:$E$35,4,FALSE()))^2),2),"")</f>
        <v/>
      </c>
      <c r="F74" s="6" t="str">
        <f aca="false">IFERROR(VLOOKUP(A74,Zones!$B$2:$E$35,4,FALSE()),"")</f>
        <v/>
      </c>
      <c r="G74" s="6" t="str">
        <f aca="false">IFERROR(VLOOKUP(B74,Zones!$B$2:$E$35,4,FALSE()),"")</f>
        <v/>
      </c>
      <c r="H74" s="6" t="str">
        <f aca="false">IFERROR(G74-F74,"")</f>
        <v/>
      </c>
      <c r="I74" s="2"/>
    </row>
    <row r="75" customFormat="false" ht="13.8" hidden="false" customHeight="false" outlineLevel="0" collapsed="false">
      <c r="A75" s="3"/>
      <c r="B75" s="3"/>
      <c r="C75" s="3" t="s">
        <v>3</v>
      </c>
      <c r="D75" s="3" t="s">
        <v>3</v>
      </c>
      <c r="E75" s="6" t="str">
        <f aca="false">IFERROR(ROUND(SQRT((VLOOKUP(A75,Zones!$B$2:$E$35,2,FALSE())-VLOOKUP(B75,Zones!$B$2:$E$35,2,FALSE()))^2+(VLOOKUP(A75,Zones!$B$2:$E$35,3,FALSE())-VLOOKUP(B75,Zones!$B$2:$E$35,3,FALSE()))^2+(VLOOKUP(A75,Zones!$B$2:$E$35,4,FALSE())-VLOOKUP(B75,Zones!$B$2:$E$35,4,FALSE()))^2),2),"")</f>
        <v/>
      </c>
      <c r="F75" s="6" t="str">
        <f aca="false">IFERROR(VLOOKUP(A75,Zones!$B$2:$E$35,4,FALSE()),"")</f>
        <v/>
      </c>
      <c r="G75" s="6" t="str">
        <f aca="false">IFERROR(VLOOKUP(B75,Zones!$B$2:$E$35,4,FALSE()),"")</f>
        <v/>
      </c>
      <c r="H75" s="6" t="str">
        <f aca="false">IFERROR(G75-F75,"")</f>
        <v/>
      </c>
      <c r="I75" s="2"/>
    </row>
    <row r="76" customFormat="false" ht="13.8" hidden="false" customHeight="false" outlineLevel="0" collapsed="false">
      <c r="A76" s="3"/>
      <c r="B76" s="3"/>
      <c r="C76" s="3" t="s">
        <v>3</v>
      </c>
      <c r="D76" s="3" t="s">
        <v>3</v>
      </c>
      <c r="E76" s="6" t="str">
        <f aca="false">IFERROR(ROUND(SQRT((VLOOKUP(A76,Zones!$B$2:$E$35,2,FALSE())-VLOOKUP(B76,Zones!$B$2:$E$35,2,FALSE()))^2+(VLOOKUP(A76,Zones!$B$2:$E$35,3,FALSE())-VLOOKUP(B76,Zones!$B$2:$E$35,3,FALSE()))^2+(VLOOKUP(A76,Zones!$B$2:$E$35,4,FALSE())-VLOOKUP(B76,Zones!$B$2:$E$35,4,FALSE()))^2),2),"")</f>
        <v/>
      </c>
      <c r="F76" s="6" t="str">
        <f aca="false">IFERROR(VLOOKUP(A76,Zones!$B$2:$E$35,4,FALSE()),"")</f>
        <v/>
      </c>
      <c r="G76" s="6" t="str">
        <f aca="false">IFERROR(VLOOKUP(B76,Zones!$B$2:$E$35,4,FALSE()),"")</f>
        <v/>
      </c>
      <c r="H76" s="6" t="str">
        <f aca="false">IFERROR(G76-F76,"")</f>
        <v/>
      </c>
      <c r="I76" s="2"/>
    </row>
    <row r="77" customFormat="false" ht="13.8" hidden="false" customHeight="false" outlineLevel="0" collapsed="false">
      <c r="A77" s="3"/>
      <c r="B77" s="3"/>
      <c r="C77" s="3" t="s">
        <v>3</v>
      </c>
      <c r="D77" s="3" t="s">
        <v>3</v>
      </c>
      <c r="E77" s="6" t="str">
        <f aca="false">IFERROR(ROUND(SQRT((VLOOKUP(A77,Zones!$B$2:$E$35,2,FALSE())-VLOOKUP(B77,Zones!$B$2:$E$35,2,FALSE()))^2+(VLOOKUP(A77,Zones!$B$2:$E$35,3,FALSE())-VLOOKUP(B77,Zones!$B$2:$E$35,3,FALSE()))^2+(VLOOKUP(A77,Zones!$B$2:$E$35,4,FALSE())-VLOOKUP(B77,Zones!$B$2:$E$35,4,FALSE()))^2),2),"")</f>
        <v/>
      </c>
      <c r="F77" s="6" t="str">
        <f aca="false">IFERROR(VLOOKUP(A77,Zones!$B$2:$E$35,4,FALSE()),"")</f>
        <v/>
      </c>
      <c r="G77" s="6" t="str">
        <f aca="false">IFERROR(VLOOKUP(B77,Zones!$B$2:$E$35,4,FALSE()),"")</f>
        <v/>
      </c>
      <c r="H77" s="6" t="str">
        <f aca="false">IFERROR(G77-F77,"")</f>
        <v/>
      </c>
      <c r="I77" s="2"/>
    </row>
    <row r="78" customFormat="false" ht="13.8" hidden="false" customHeight="false" outlineLevel="0" collapsed="false">
      <c r="A78" s="3"/>
      <c r="B78" s="3"/>
      <c r="C78" s="3" t="s">
        <v>3</v>
      </c>
      <c r="D78" s="3" t="s">
        <v>3</v>
      </c>
      <c r="E78" s="6" t="str">
        <f aca="false">IFERROR(ROUND(SQRT((VLOOKUP(A78,Zones!$B$2:$E$35,2,FALSE())-VLOOKUP(B78,Zones!$B$2:$E$35,2,FALSE()))^2+(VLOOKUP(A78,Zones!$B$2:$E$35,3,FALSE())-VLOOKUP(B78,Zones!$B$2:$E$35,3,FALSE()))^2+(VLOOKUP(A78,Zones!$B$2:$E$35,4,FALSE())-VLOOKUP(B78,Zones!$B$2:$E$35,4,FALSE()))^2),2),"")</f>
        <v/>
      </c>
      <c r="F78" s="6" t="str">
        <f aca="false">IFERROR(VLOOKUP(A78,Zones!$B$2:$E$35,4,FALSE()),"")</f>
        <v/>
      </c>
      <c r="G78" s="6" t="str">
        <f aca="false">IFERROR(VLOOKUP(B78,Zones!$B$2:$E$35,4,FALSE()),"")</f>
        <v/>
      </c>
      <c r="H78" s="6" t="str">
        <f aca="false">IFERROR(G78-F78,"")</f>
        <v/>
      </c>
      <c r="I78" s="2"/>
    </row>
    <row r="79" customFormat="false" ht="13.8" hidden="false" customHeight="false" outlineLevel="0" collapsed="false">
      <c r="A79" s="3"/>
      <c r="B79" s="3"/>
      <c r="C79" s="3" t="s">
        <v>3</v>
      </c>
      <c r="D79" s="3" t="s">
        <v>3</v>
      </c>
      <c r="E79" s="6" t="str">
        <f aca="false">IFERROR(ROUND(SQRT((VLOOKUP(A79,Zones!$B$2:$E$35,2,FALSE())-VLOOKUP(B79,Zones!$B$2:$E$35,2,FALSE()))^2+(VLOOKUP(A79,Zones!$B$2:$E$35,3,FALSE())-VLOOKUP(B79,Zones!$B$2:$E$35,3,FALSE()))^2+(VLOOKUP(A79,Zones!$B$2:$E$35,4,FALSE())-VLOOKUP(B79,Zones!$B$2:$E$35,4,FALSE()))^2),2),"")</f>
        <v/>
      </c>
      <c r="F79" s="6" t="str">
        <f aca="false">IFERROR(VLOOKUP(A79,Zones!$B$2:$E$35,4,FALSE()),"")</f>
        <v/>
      </c>
      <c r="G79" s="6" t="str">
        <f aca="false">IFERROR(VLOOKUP(B79,Zones!$B$2:$E$35,4,FALSE()),"")</f>
        <v/>
      </c>
      <c r="H79" s="6" t="str">
        <f aca="false">IFERROR(G79-F79,"")</f>
        <v/>
      </c>
      <c r="I79" s="2"/>
    </row>
    <row r="80" customFormat="false" ht="13.8" hidden="false" customHeight="false" outlineLevel="0" collapsed="false">
      <c r="A80" s="3"/>
      <c r="B80" s="3"/>
      <c r="C80" s="3" t="s">
        <v>3</v>
      </c>
      <c r="D80" s="3" t="s">
        <v>3</v>
      </c>
      <c r="E80" s="6" t="str">
        <f aca="false">IFERROR(ROUND(SQRT((VLOOKUP(A80,Zones!$B$2:$E$35,2,FALSE())-VLOOKUP(B80,Zones!$B$2:$E$35,2,FALSE()))^2+(VLOOKUP(A80,Zones!$B$2:$E$35,3,FALSE())-VLOOKUP(B80,Zones!$B$2:$E$35,3,FALSE()))^2+(VLOOKUP(A80,Zones!$B$2:$E$35,4,FALSE())-VLOOKUP(B80,Zones!$B$2:$E$35,4,FALSE()))^2),2),"")</f>
        <v/>
      </c>
      <c r="F80" s="6" t="str">
        <f aca="false">IFERROR(VLOOKUP(A80,Zones!$B$2:$E$35,4,FALSE()),"")</f>
        <v/>
      </c>
      <c r="G80" s="6" t="str">
        <f aca="false">IFERROR(VLOOKUP(B80,Zones!$B$2:$E$35,4,FALSE()),"")</f>
        <v/>
      </c>
      <c r="H80" s="6" t="str">
        <f aca="false">IFERROR(G80-F80,"")</f>
        <v/>
      </c>
      <c r="I80" s="2"/>
    </row>
    <row r="81" customFormat="false" ht="13.8" hidden="false" customHeight="false" outlineLevel="0" collapsed="false">
      <c r="A81" s="3"/>
      <c r="B81" s="3"/>
      <c r="C81" s="3" t="s">
        <v>3</v>
      </c>
      <c r="D81" s="3" t="s">
        <v>3</v>
      </c>
      <c r="E81" s="6" t="str">
        <f aca="false">IFERROR(ROUND(SQRT((VLOOKUP(A81,Zones!$B$2:$E$35,2,FALSE())-VLOOKUP(B81,Zones!$B$2:$E$35,2,FALSE()))^2+(VLOOKUP(A81,Zones!$B$2:$E$35,3,FALSE())-VLOOKUP(B81,Zones!$B$2:$E$35,3,FALSE()))^2+(VLOOKUP(A81,Zones!$B$2:$E$35,4,FALSE())-VLOOKUP(B81,Zones!$B$2:$E$35,4,FALSE()))^2),2),"")</f>
        <v/>
      </c>
      <c r="F81" s="6" t="str">
        <f aca="false">IFERROR(VLOOKUP(A81,Zones!$B$2:$E$35,4,FALSE()),"")</f>
        <v/>
      </c>
      <c r="G81" s="6" t="str">
        <f aca="false">IFERROR(VLOOKUP(B81,Zones!$B$2:$E$35,4,FALSE()),"")</f>
        <v/>
      </c>
      <c r="H81" s="6" t="str">
        <f aca="false">IFERROR(G81-F81,"")</f>
        <v/>
      </c>
      <c r="I81" s="2"/>
    </row>
    <row r="82" customFormat="false" ht="13.8" hidden="false" customHeight="false" outlineLevel="0" collapsed="false">
      <c r="A82" s="3"/>
      <c r="B82" s="3"/>
      <c r="C82" s="3" t="s">
        <v>3</v>
      </c>
      <c r="D82" s="3" t="s">
        <v>3</v>
      </c>
      <c r="E82" s="6" t="str">
        <f aca="false">IFERROR(ROUND(SQRT((VLOOKUP(A82,Zones!$B$2:$E$35,2,FALSE())-VLOOKUP(B82,Zones!$B$2:$E$35,2,FALSE()))^2+(VLOOKUP(A82,Zones!$B$2:$E$35,3,FALSE())-VLOOKUP(B82,Zones!$B$2:$E$35,3,FALSE()))^2+(VLOOKUP(A82,Zones!$B$2:$E$35,4,FALSE())-VLOOKUP(B82,Zones!$B$2:$E$35,4,FALSE()))^2),2),"")</f>
        <v/>
      </c>
      <c r="F82" s="6" t="str">
        <f aca="false">IFERROR(VLOOKUP(A82,Zones!$B$2:$E$35,4,FALSE()),"")</f>
        <v/>
      </c>
      <c r="G82" s="6" t="str">
        <f aca="false">IFERROR(VLOOKUP(B82,Zones!$B$2:$E$35,4,FALSE()),"")</f>
        <v/>
      </c>
      <c r="H82" s="6" t="str">
        <f aca="false">IFERROR(G82-F82,"")</f>
        <v/>
      </c>
      <c r="I82" s="2"/>
    </row>
    <row r="83" customFormat="false" ht="13.8" hidden="false" customHeight="false" outlineLevel="0" collapsed="false">
      <c r="A83" s="3"/>
      <c r="B83" s="3"/>
      <c r="C83" s="3" t="s">
        <v>3</v>
      </c>
      <c r="D83" s="3" t="s">
        <v>3</v>
      </c>
      <c r="E83" s="6" t="str">
        <f aca="false">IFERROR(ROUND(SQRT((VLOOKUP(A83,Zones!$B$2:$E$35,2,FALSE())-VLOOKUP(B83,Zones!$B$2:$E$35,2,FALSE()))^2+(VLOOKUP(A83,Zones!$B$2:$E$35,3,FALSE())-VLOOKUP(B83,Zones!$B$2:$E$35,3,FALSE()))^2+(VLOOKUP(A83,Zones!$B$2:$E$35,4,FALSE())-VLOOKUP(B83,Zones!$B$2:$E$35,4,FALSE()))^2),2),"")</f>
        <v/>
      </c>
      <c r="F83" s="6" t="str">
        <f aca="false">IFERROR(VLOOKUP(A83,Zones!$B$2:$E$35,4,FALSE()),"")</f>
        <v/>
      </c>
      <c r="G83" s="6" t="str">
        <f aca="false">IFERROR(VLOOKUP(B83,Zones!$B$2:$E$35,4,FALSE()),"")</f>
        <v/>
      </c>
      <c r="H83" s="6" t="str">
        <f aca="false">IFERROR(G83-F83,"")</f>
        <v/>
      </c>
      <c r="I83" s="2"/>
    </row>
    <row r="84" customFormat="false" ht="13.8" hidden="false" customHeight="false" outlineLevel="0" collapsed="false">
      <c r="A84" s="3"/>
      <c r="B84" s="3"/>
      <c r="C84" s="3" t="s">
        <v>3</v>
      </c>
      <c r="D84" s="3" t="s">
        <v>3</v>
      </c>
      <c r="E84" s="6" t="str">
        <f aca="false">IFERROR(ROUND(SQRT((VLOOKUP(A84,Zones!$B$2:$E$35,2,FALSE())-VLOOKUP(B84,Zones!$B$2:$E$35,2,FALSE()))^2+(VLOOKUP(A84,Zones!$B$2:$E$35,3,FALSE())-VLOOKUP(B84,Zones!$B$2:$E$35,3,FALSE()))^2+(VLOOKUP(A84,Zones!$B$2:$E$35,4,FALSE())-VLOOKUP(B84,Zones!$B$2:$E$35,4,FALSE()))^2),2),"")</f>
        <v/>
      </c>
      <c r="F84" s="6" t="str">
        <f aca="false">IFERROR(VLOOKUP(A84,Zones!$B$2:$E$35,4,FALSE()),"")</f>
        <v/>
      </c>
      <c r="G84" s="6" t="str">
        <f aca="false">IFERROR(VLOOKUP(B84,Zones!$B$2:$E$35,4,FALSE()),"")</f>
        <v/>
      </c>
      <c r="H84" s="6" t="str">
        <f aca="false">IFERROR(G84-F84,"")</f>
        <v/>
      </c>
      <c r="I84" s="2"/>
    </row>
    <row r="85" customFormat="false" ht="13.8" hidden="false" customHeight="false" outlineLevel="0" collapsed="false">
      <c r="A85" s="3"/>
      <c r="B85" s="3"/>
      <c r="C85" s="3" t="s">
        <v>3</v>
      </c>
      <c r="D85" s="3" t="s">
        <v>3</v>
      </c>
      <c r="E85" s="6" t="str">
        <f aca="false">IFERROR(ROUND(SQRT((VLOOKUP(A85,Zones!$B$2:$E$35,2,FALSE())-VLOOKUP(B85,Zones!$B$2:$E$35,2,FALSE()))^2+(VLOOKUP(A85,Zones!$B$2:$E$35,3,FALSE())-VLOOKUP(B85,Zones!$B$2:$E$35,3,FALSE()))^2+(VLOOKUP(A85,Zones!$B$2:$E$35,4,FALSE())-VLOOKUP(B85,Zones!$B$2:$E$35,4,FALSE()))^2),2),"")</f>
        <v/>
      </c>
      <c r="F85" s="6" t="str">
        <f aca="false">IFERROR(VLOOKUP(A85,Zones!$B$2:$E$35,4,FALSE()),"")</f>
        <v/>
      </c>
      <c r="G85" s="6" t="str">
        <f aca="false">IFERROR(VLOOKUP(B85,Zones!$B$2:$E$35,4,FALSE()),"")</f>
        <v/>
      </c>
      <c r="H85" s="6" t="str">
        <f aca="false">IFERROR(G85-F85,"")</f>
        <v/>
      </c>
      <c r="I85" s="2"/>
    </row>
    <row r="86" customFormat="false" ht="13.8" hidden="false" customHeight="false" outlineLevel="0" collapsed="false">
      <c r="A86" s="3"/>
      <c r="B86" s="3"/>
      <c r="C86" s="3" t="s">
        <v>3</v>
      </c>
      <c r="D86" s="3" t="s">
        <v>3</v>
      </c>
      <c r="E86" s="6" t="str">
        <f aca="false">IFERROR(ROUND(SQRT((VLOOKUP(A86,Zones!$B$2:$E$35,2,FALSE())-VLOOKUP(B86,Zones!$B$2:$E$35,2,FALSE()))^2+(VLOOKUP(A86,Zones!$B$2:$E$35,3,FALSE())-VLOOKUP(B86,Zones!$B$2:$E$35,3,FALSE()))^2+(VLOOKUP(A86,Zones!$B$2:$E$35,4,FALSE())-VLOOKUP(B86,Zones!$B$2:$E$35,4,FALSE()))^2),2),"")</f>
        <v/>
      </c>
      <c r="F86" s="6" t="str">
        <f aca="false">IFERROR(VLOOKUP(A86,Zones!$B$2:$E$35,4,FALSE()),"")</f>
        <v/>
      </c>
      <c r="G86" s="6" t="str">
        <f aca="false">IFERROR(VLOOKUP(B86,Zones!$B$2:$E$35,4,FALSE()),"")</f>
        <v/>
      </c>
      <c r="H86" s="6" t="str">
        <f aca="false">IFERROR(G86-F86,"")</f>
        <v/>
      </c>
      <c r="I86" s="2"/>
    </row>
    <row r="87" customFormat="false" ht="13.8" hidden="false" customHeight="false" outlineLevel="0" collapsed="false">
      <c r="A87" s="3"/>
      <c r="B87" s="3"/>
      <c r="C87" s="3" t="s">
        <v>3</v>
      </c>
      <c r="D87" s="3" t="s">
        <v>3</v>
      </c>
      <c r="E87" s="6" t="str">
        <f aca="false">IFERROR(ROUND(SQRT((VLOOKUP(A87,Zones!$B$2:$E$35,2,FALSE())-VLOOKUP(B87,Zones!$B$2:$E$35,2,FALSE()))^2+(VLOOKUP(A87,Zones!$B$2:$E$35,3,FALSE())-VLOOKUP(B87,Zones!$B$2:$E$35,3,FALSE()))^2+(VLOOKUP(A87,Zones!$B$2:$E$35,4,FALSE())-VLOOKUP(B87,Zones!$B$2:$E$35,4,FALSE()))^2),2),"")</f>
        <v/>
      </c>
      <c r="F87" s="6" t="str">
        <f aca="false">IFERROR(VLOOKUP(A87,Zones!$B$2:$E$35,4,FALSE()),"")</f>
        <v/>
      </c>
      <c r="G87" s="6" t="str">
        <f aca="false">IFERROR(VLOOKUP(B87,Zones!$B$2:$E$35,4,FALSE()),"")</f>
        <v/>
      </c>
      <c r="H87" s="6" t="str">
        <f aca="false">IFERROR(G87-F87,"")</f>
        <v/>
      </c>
      <c r="I87" s="2"/>
    </row>
    <row r="88" customFormat="false" ht="13.8" hidden="false" customHeight="false" outlineLevel="0" collapsed="false">
      <c r="A88" s="3"/>
      <c r="B88" s="3"/>
      <c r="C88" s="3" t="s">
        <v>3</v>
      </c>
      <c r="D88" s="3" t="s">
        <v>3</v>
      </c>
      <c r="E88" s="6" t="str">
        <f aca="false">IFERROR(ROUND(SQRT((VLOOKUP(A88,Zones!$B$2:$E$35,2,FALSE())-VLOOKUP(B88,Zones!$B$2:$E$35,2,FALSE()))^2+(VLOOKUP(A88,Zones!$B$2:$E$35,3,FALSE())-VLOOKUP(B88,Zones!$B$2:$E$35,3,FALSE()))^2+(VLOOKUP(A88,Zones!$B$2:$E$35,4,FALSE())-VLOOKUP(B88,Zones!$B$2:$E$35,4,FALSE()))^2),2),"")</f>
        <v/>
      </c>
      <c r="F88" s="6" t="str">
        <f aca="false">IFERROR(VLOOKUP(A88,Zones!$B$2:$E$35,4,FALSE()),"")</f>
        <v/>
      </c>
      <c r="G88" s="6" t="str">
        <f aca="false">IFERROR(VLOOKUP(B88,Zones!$B$2:$E$35,4,FALSE()),"")</f>
        <v/>
      </c>
      <c r="H88" s="6" t="str">
        <f aca="false">IFERROR(G88-F88,"")</f>
        <v/>
      </c>
      <c r="I88" s="2"/>
    </row>
    <row r="89" customFormat="false" ht="13.8" hidden="false" customHeight="false" outlineLevel="0" collapsed="false">
      <c r="A89" s="3"/>
      <c r="B89" s="3"/>
      <c r="C89" s="3" t="s">
        <v>3</v>
      </c>
      <c r="D89" s="3" t="s">
        <v>3</v>
      </c>
      <c r="E89" s="6" t="str">
        <f aca="false">IFERROR(ROUND(SQRT((VLOOKUP(A89,Zones!$B$2:$E$35,2,FALSE())-VLOOKUP(B89,Zones!$B$2:$E$35,2,FALSE()))^2+(VLOOKUP(A89,Zones!$B$2:$E$35,3,FALSE())-VLOOKUP(B89,Zones!$B$2:$E$35,3,FALSE()))^2+(VLOOKUP(A89,Zones!$B$2:$E$35,4,FALSE())-VLOOKUP(B89,Zones!$B$2:$E$35,4,FALSE()))^2),2),"")</f>
        <v/>
      </c>
      <c r="F89" s="6" t="str">
        <f aca="false">IFERROR(VLOOKUP(A89,Zones!$B$2:$E$35,4,FALSE()),"")</f>
        <v/>
      </c>
      <c r="G89" s="6" t="str">
        <f aca="false">IFERROR(VLOOKUP(B89,Zones!$B$2:$E$35,4,FALSE()),"")</f>
        <v/>
      </c>
      <c r="H89" s="6" t="str">
        <f aca="false">IFERROR(G89-F89,"")</f>
        <v/>
      </c>
      <c r="I89" s="2"/>
    </row>
    <row r="90" customFormat="false" ht="13.8" hidden="false" customHeight="false" outlineLevel="0" collapsed="false">
      <c r="A90" s="3"/>
      <c r="B90" s="3"/>
      <c r="C90" s="3" t="s">
        <v>3</v>
      </c>
      <c r="D90" s="3" t="s">
        <v>3</v>
      </c>
      <c r="E90" s="6" t="str">
        <f aca="false">IFERROR(ROUND(SQRT((VLOOKUP(A90,Zones!$B$2:$E$35,2,FALSE())-VLOOKUP(B90,Zones!$B$2:$E$35,2,FALSE()))^2+(VLOOKUP(A90,Zones!$B$2:$E$35,3,FALSE())-VLOOKUP(B90,Zones!$B$2:$E$35,3,FALSE()))^2+(VLOOKUP(A90,Zones!$B$2:$E$35,4,FALSE())-VLOOKUP(B90,Zones!$B$2:$E$35,4,FALSE()))^2),2),"")</f>
        <v/>
      </c>
      <c r="F90" s="6" t="str">
        <f aca="false">IFERROR(VLOOKUP(A90,Zones!$B$2:$E$35,4,FALSE()),"")</f>
        <v/>
      </c>
      <c r="G90" s="6" t="str">
        <f aca="false">IFERROR(VLOOKUP(B90,Zones!$B$2:$E$35,4,FALSE()),"")</f>
        <v/>
      </c>
      <c r="H90" s="6" t="str">
        <f aca="false">IFERROR(G90-F90,"")</f>
        <v/>
      </c>
      <c r="I90" s="2"/>
    </row>
    <row r="91" customFormat="false" ht="13.8" hidden="false" customHeight="false" outlineLevel="0" collapsed="false">
      <c r="A91" s="3"/>
      <c r="B91" s="3"/>
      <c r="C91" s="3" t="s">
        <v>3</v>
      </c>
      <c r="D91" s="3" t="s">
        <v>3</v>
      </c>
      <c r="E91" s="6" t="str">
        <f aca="false">IFERROR(ROUND(SQRT((VLOOKUP(A91,Zones!$B$2:$E$35,2,FALSE())-VLOOKUP(B91,Zones!$B$2:$E$35,2,FALSE()))^2+(VLOOKUP(A91,Zones!$B$2:$E$35,3,FALSE())-VLOOKUP(B91,Zones!$B$2:$E$35,3,FALSE()))^2+(VLOOKUP(A91,Zones!$B$2:$E$35,4,FALSE())-VLOOKUP(B91,Zones!$B$2:$E$35,4,FALSE()))^2),2),"")</f>
        <v/>
      </c>
      <c r="F91" s="6" t="str">
        <f aca="false">IFERROR(VLOOKUP(A91,Zones!$B$2:$E$35,4,FALSE()),"")</f>
        <v/>
      </c>
      <c r="G91" s="6" t="str">
        <f aca="false">IFERROR(VLOOKUP(B91,Zones!$B$2:$E$35,4,FALSE()),"")</f>
        <v/>
      </c>
      <c r="H91" s="6" t="str">
        <f aca="false">IFERROR(G91-F91,"")</f>
        <v/>
      </c>
      <c r="I91" s="2"/>
    </row>
    <row r="92" customFormat="false" ht="13.8" hidden="false" customHeight="false" outlineLevel="0" collapsed="false">
      <c r="A92" s="3"/>
      <c r="B92" s="3"/>
      <c r="C92" s="3" t="s">
        <v>3</v>
      </c>
      <c r="D92" s="3" t="s">
        <v>3</v>
      </c>
      <c r="E92" s="6" t="str">
        <f aca="false">IFERROR(ROUND(SQRT((VLOOKUP(A92,Zones!$B$2:$E$35,2,FALSE())-VLOOKUP(B92,Zones!$B$2:$E$35,2,FALSE()))^2+(VLOOKUP(A92,Zones!$B$2:$E$35,3,FALSE())-VLOOKUP(B92,Zones!$B$2:$E$35,3,FALSE()))^2+(VLOOKUP(A92,Zones!$B$2:$E$35,4,FALSE())-VLOOKUP(B92,Zones!$B$2:$E$35,4,FALSE()))^2),2),"")</f>
        <v/>
      </c>
      <c r="F92" s="6" t="str">
        <f aca="false">IFERROR(VLOOKUP(A92,Zones!$B$2:$E$35,4,FALSE()),"")</f>
        <v/>
      </c>
      <c r="G92" s="6" t="str">
        <f aca="false">IFERROR(VLOOKUP(B92,Zones!$B$2:$E$35,4,FALSE()),"")</f>
        <v/>
      </c>
      <c r="H92" s="6" t="str">
        <f aca="false">IFERROR(G92-F92,"")</f>
        <v/>
      </c>
      <c r="I92" s="2"/>
    </row>
    <row r="93" customFormat="false" ht="13.8" hidden="false" customHeight="false" outlineLevel="0" collapsed="false">
      <c r="A93" s="3"/>
      <c r="B93" s="3"/>
      <c r="C93" s="3" t="s">
        <v>3</v>
      </c>
      <c r="D93" s="3" t="s">
        <v>3</v>
      </c>
      <c r="E93" s="6" t="str">
        <f aca="false">IFERROR(ROUND(SQRT((VLOOKUP(A93,Zones!$B$2:$E$35,2,FALSE())-VLOOKUP(B93,Zones!$B$2:$E$35,2,FALSE()))^2+(VLOOKUP(A93,Zones!$B$2:$E$35,3,FALSE())-VLOOKUP(B93,Zones!$B$2:$E$35,3,FALSE()))^2+(VLOOKUP(A93,Zones!$B$2:$E$35,4,FALSE())-VLOOKUP(B93,Zones!$B$2:$E$35,4,FALSE()))^2),2),"")</f>
        <v/>
      </c>
      <c r="F93" s="6" t="str">
        <f aca="false">IFERROR(VLOOKUP(A93,Zones!$B$2:$E$35,4,FALSE()),"")</f>
        <v/>
      </c>
      <c r="G93" s="6" t="str">
        <f aca="false">IFERROR(VLOOKUP(B93,Zones!$B$2:$E$35,4,FALSE()),"")</f>
        <v/>
      </c>
      <c r="H93" s="6" t="str">
        <f aca="false">IFERROR(G93-F93,"")</f>
        <v/>
      </c>
      <c r="I93" s="2"/>
    </row>
    <row r="94" customFormat="false" ht="13.8" hidden="false" customHeight="false" outlineLevel="0" collapsed="false">
      <c r="A94" s="3"/>
      <c r="B94" s="3"/>
      <c r="C94" s="3" t="s">
        <v>3</v>
      </c>
      <c r="D94" s="3" t="s">
        <v>3</v>
      </c>
      <c r="E94" s="6" t="str">
        <f aca="false">IFERROR(ROUND(SQRT((VLOOKUP(A94,Zones!$B$2:$E$35,2,FALSE())-VLOOKUP(B94,Zones!$B$2:$E$35,2,FALSE()))^2+(VLOOKUP(A94,Zones!$B$2:$E$35,3,FALSE())-VLOOKUP(B94,Zones!$B$2:$E$35,3,FALSE()))^2+(VLOOKUP(A94,Zones!$B$2:$E$35,4,FALSE())-VLOOKUP(B94,Zones!$B$2:$E$35,4,FALSE()))^2),2),"")</f>
        <v/>
      </c>
      <c r="F94" s="6" t="str">
        <f aca="false">IFERROR(VLOOKUP(A94,Zones!$B$2:$E$35,4,FALSE()),"")</f>
        <v/>
      </c>
      <c r="G94" s="6" t="str">
        <f aca="false">IFERROR(VLOOKUP(B94,Zones!$B$2:$E$35,4,FALSE()),"")</f>
        <v/>
      </c>
      <c r="H94" s="6" t="str">
        <f aca="false">IFERROR(G94-F94,"")</f>
        <v/>
      </c>
      <c r="I94" s="2"/>
    </row>
    <row r="95" customFormat="false" ht="13.8" hidden="false" customHeight="false" outlineLevel="0" collapsed="false">
      <c r="A95" s="3"/>
      <c r="B95" s="3"/>
      <c r="C95" s="3" t="s">
        <v>3</v>
      </c>
      <c r="D95" s="3" t="s">
        <v>3</v>
      </c>
      <c r="E95" s="6" t="str">
        <f aca="false">IFERROR(ROUND(SQRT((VLOOKUP(A95,Zones!$B$2:$E$35,2,FALSE())-VLOOKUP(B95,Zones!$B$2:$E$35,2,FALSE()))^2+(VLOOKUP(A95,Zones!$B$2:$E$35,3,FALSE())-VLOOKUP(B95,Zones!$B$2:$E$35,3,FALSE()))^2+(VLOOKUP(A95,Zones!$B$2:$E$35,4,FALSE())-VLOOKUP(B95,Zones!$B$2:$E$35,4,FALSE()))^2),2),"")</f>
        <v/>
      </c>
      <c r="F95" s="6" t="str">
        <f aca="false">IFERROR(VLOOKUP(A95,Zones!$B$2:$E$35,4,FALSE()),"")</f>
        <v/>
      </c>
      <c r="G95" s="6" t="str">
        <f aca="false">IFERROR(VLOOKUP(B95,Zones!$B$2:$E$35,4,FALSE()),"")</f>
        <v/>
      </c>
      <c r="H95" s="6" t="str">
        <f aca="false">IFERROR(G95-F95,"")</f>
        <v/>
      </c>
      <c r="I95" s="2"/>
    </row>
    <row r="96" customFormat="false" ht="13.8" hidden="false" customHeight="false" outlineLevel="0" collapsed="false">
      <c r="A96" s="3"/>
      <c r="B96" s="3"/>
      <c r="C96" s="3" t="s">
        <v>3</v>
      </c>
      <c r="D96" s="3" t="s">
        <v>3</v>
      </c>
      <c r="E96" s="6" t="str">
        <f aca="false">IFERROR(ROUND(SQRT((VLOOKUP(A96,Zones!$B$2:$E$35,2,FALSE())-VLOOKUP(B96,Zones!$B$2:$E$35,2,FALSE()))^2+(VLOOKUP(A96,Zones!$B$2:$E$35,3,FALSE())-VLOOKUP(B96,Zones!$B$2:$E$35,3,FALSE()))^2+(VLOOKUP(A96,Zones!$B$2:$E$35,4,FALSE())-VLOOKUP(B96,Zones!$B$2:$E$35,4,FALSE()))^2),2),"")</f>
        <v/>
      </c>
      <c r="F96" s="6" t="str">
        <f aca="false">IFERROR(VLOOKUP(A96,Zones!$B$2:$E$35,4,FALSE()),"")</f>
        <v/>
      </c>
      <c r="G96" s="6" t="str">
        <f aca="false">IFERROR(VLOOKUP(B96,Zones!$B$2:$E$35,4,FALSE()),"")</f>
        <v/>
      </c>
      <c r="H96" s="6" t="str">
        <f aca="false">IFERROR(G96-F96,"")</f>
        <v/>
      </c>
      <c r="I96" s="2"/>
    </row>
    <row r="97" customFormat="false" ht="13.8" hidden="false" customHeight="false" outlineLevel="0" collapsed="false">
      <c r="A97" s="3"/>
      <c r="B97" s="3"/>
      <c r="C97" s="3" t="s">
        <v>3</v>
      </c>
      <c r="D97" s="3" t="s">
        <v>3</v>
      </c>
      <c r="E97" s="6" t="str">
        <f aca="false">IFERROR(ROUND(SQRT((VLOOKUP(A97,Zones!$B$2:$E$35,2,FALSE())-VLOOKUP(B97,Zones!$B$2:$E$35,2,FALSE()))^2+(VLOOKUP(A97,Zones!$B$2:$E$35,3,FALSE())-VLOOKUP(B97,Zones!$B$2:$E$35,3,FALSE()))^2+(VLOOKUP(A97,Zones!$B$2:$E$35,4,FALSE())-VLOOKUP(B97,Zones!$B$2:$E$35,4,FALSE()))^2),2),"")</f>
        <v/>
      </c>
      <c r="F97" s="6" t="str">
        <f aca="false">IFERROR(VLOOKUP(A97,Zones!$B$2:$E$35,4,FALSE()),"")</f>
        <v/>
      </c>
      <c r="G97" s="6" t="str">
        <f aca="false">IFERROR(VLOOKUP(B97,Zones!$B$2:$E$35,4,FALSE()),"")</f>
        <v/>
      </c>
      <c r="H97" s="6" t="str">
        <f aca="false">IFERROR(G97-F97,"")</f>
        <v/>
      </c>
      <c r="I97" s="2"/>
    </row>
    <row r="98" customFormat="false" ht="13.8" hidden="false" customHeight="false" outlineLevel="0" collapsed="false">
      <c r="A98" s="3"/>
      <c r="B98" s="3"/>
      <c r="C98" s="3" t="s">
        <v>3</v>
      </c>
      <c r="D98" s="3" t="s">
        <v>3</v>
      </c>
      <c r="E98" s="6" t="str">
        <f aca="false">IFERROR(ROUND(SQRT((VLOOKUP(A98,Zones!$B$2:$E$35,2,FALSE())-VLOOKUP(B98,Zones!$B$2:$E$35,2,FALSE()))^2+(VLOOKUP(A98,Zones!$B$2:$E$35,3,FALSE())-VLOOKUP(B98,Zones!$B$2:$E$35,3,FALSE()))^2+(VLOOKUP(A98,Zones!$B$2:$E$35,4,FALSE())-VLOOKUP(B98,Zones!$B$2:$E$35,4,FALSE()))^2),2),"")</f>
        <v/>
      </c>
      <c r="F98" s="6" t="str">
        <f aca="false">IFERROR(VLOOKUP(A98,Zones!$B$2:$E$35,4,FALSE()),"")</f>
        <v/>
      </c>
      <c r="G98" s="6" t="str">
        <f aca="false">IFERROR(VLOOKUP(B98,Zones!$B$2:$E$35,4,FALSE()),"")</f>
        <v/>
      </c>
      <c r="H98" s="6" t="str">
        <f aca="false">IFERROR(G98-F98,"")</f>
        <v/>
      </c>
      <c r="I98" s="2"/>
    </row>
    <row r="99" customFormat="false" ht="13.8" hidden="false" customHeight="false" outlineLevel="0" collapsed="false">
      <c r="A99" s="3"/>
      <c r="B99" s="3"/>
      <c r="C99" s="3" t="s">
        <v>3</v>
      </c>
      <c r="D99" s="3" t="s">
        <v>3</v>
      </c>
      <c r="E99" s="6" t="str">
        <f aca="false">IFERROR(ROUND(SQRT((VLOOKUP(A99,Zones!$B$2:$E$35,2,FALSE())-VLOOKUP(B99,Zones!$B$2:$E$35,2,FALSE()))^2+(VLOOKUP(A99,Zones!$B$2:$E$35,3,FALSE())-VLOOKUP(B99,Zones!$B$2:$E$35,3,FALSE()))^2+(VLOOKUP(A99,Zones!$B$2:$E$35,4,FALSE())-VLOOKUP(B99,Zones!$B$2:$E$35,4,FALSE()))^2),2),"")</f>
        <v/>
      </c>
      <c r="F99" s="6" t="str">
        <f aca="false">IFERROR(VLOOKUP(A99,Zones!$B$2:$E$35,4,FALSE()),"")</f>
        <v/>
      </c>
      <c r="G99" s="6" t="str">
        <f aca="false">IFERROR(VLOOKUP(B99,Zones!$B$2:$E$35,4,FALSE()),"")</f>
        <v/>
      </c>
      <c r="H99" s="6" t="str">
        <f aca="false">IFERROR(G99-F99,"")</f>
        <v/>
      </c>
      <c r="I99" s="2"/>
    </row>
    <row r="100" customFormat="false" ht="13.8" hidden="false" customHeight="false" outlineLevel="0" collapsed="false">
      <c r="A100" s="3"/>
      <c r="B100" s="3"/>
      <c r="C100" s="3" t="s">
        <v>3</v>
      </c>
      <c r="D100" s="3" t="s">
        <v>3</v>
      </c>
      <c r="E100" s="6" t="str">
        <f aca="false">IFERROR(ROUND(SQRT((VLOOKUP(A100,Zones!$B$2:$E$35,2,FALSE())-VLOOKUP(B100,Zones!$B$2:$E$35,2,FALSE()))^2+(VLOOKUP(A100,Zones!$B$2:$E$35,3,FALSE())-VLOOKUP(B100,Zones!$B$2:$E$35,3,FALSE()))^2+(VLOOKUP(A100,Zones!$B$2:$E$35,4,FALSE())-VLOOKUP(B100,Zones!$B$2:$E$35,4,FALSE()))^2),2),"")</f>
        <v/>
      </c>
      <c r="F100" s="6" t="str">
        <f aca="false">IFERROR(VLOOKUP(A100,Zones!$B$2:$E$35,4,FALSE()),"")</f>
        <v/>
      </c>
      <c r="G100" s="6" t="str">
        <f aca="false">IFERROR(VLOOKUP(B100,Zones!$B$2:$E$35,4,FALSE()),"")</f>
        <v/>
      </c>
      <c r="H100" s="6" t="str">
        <f aca="false">IFERROR(G100-F100,"")</f>
        <v/>
      </c>
      <c r="I100" s="2"/>
    </row>
    <row r="101" customFormat="false" ht="13.8" hidden="false" customHeight="false" outlineLevel="0" collapsed="false">
      <c r="A101" s="3"/>
      <c r="B101" s="3"/>
      <c r="C101" s="3" t="s">
        <v>3</v>
      </c>
      <c r="D101" s="3" t="s">
        <v>3</v>
      </c>
      <c r="E101" s="6" t="str">
        <f aca="false">IFERROR(ROUND(SQRT((VLOOKUP(A101,Zones!$B$2:$E$35,2,FALSE())-VLOOKUP(B101,Zones!$B$2:$E$35,2,FALSE()))^2+(VLOOKUP(A101,Zones!$B$2:$E$35,3,FALSE())-VLOOKUP(B101,Zones!$B$2:$E$35,3,FALSE()))^2+(VLOOKUP(A101,Zones!$B$2:$E$35,4,FALSE())-VLOOKUP(B101,Zones!$B$2:$E$35,4,FALSE()))^2),2),"")</f>
        <v/>
      </c>
      <c r="F101" s="6" t="str">
        <f aca="false">IFERROR(VLOOKUP(A101,Zones!$B$2:$E$35,4,FALSE()),"")</f>
        <v/>
      </c>
      <c r="G101" s="6" t="str">
        <f aca="false">IFERROR(VLOOKUP(B101,Zones!$B$2:$E$35,4,FALSE()),"")</f>
        <v/>
      </c>
      <c r="H101" s="6" t="str">
        <f aca="false">IFERROR(G101-F101,"")</f>
        <v/>
      </c>
      <c r="I101" s="2"/>
    </row>
    <row r="102" customFormat="false" ht="13.8" hidden="false" customHeight="false" outlineLevel="0" collapsed="false">
      <c r="A102" s="3"/>
      <c r="B102" s="3"/>
      <c r="C102" s="3" t="s">
        <v>3</v>
      </c>
      <c r="D102" s="3" t="s">
        <v>3</v>
      </c>
      <c r="E102" s="6" t="str">
        <f aca="false">IFERROR(ROUND(SQRT((VLOOKUP(A102,Zones!$B$2:$E$35,2,FALSE())-VLOOKUP(B102,Zones!$B$2:$E$35,2,FALSE()))^2+(VLOOKUP(A102,Zones!$B$2:$E$35,3,FALSE())-VLOOKUP(B102,Zones!$B$2:$E$35,3,FALSE()))^2+(VLOOKUP(A102,Zones!$B$2:$E$35,4,FALSE())-VLOOKUP(B102,Zones!$B$2:$E$35,4,FALSE()))^2),2),"")</f>
        <v/>
      </c>
      <c r="F102" s="6" t="str">
        <f aca="false">IFERROR(VLOOKUP(A102,Zones!$B$2:$E$35,4,FALSE()),"")</f>
        <v/>
      </c>
      <c r="G102" s="6" t="str">
        <f aca="false">IFERROR(VLOOKUP(B102,Zones!$B$2:$E$35,4,FALSE()),"")</f>
        <v/>
      </c>
      <c r="H102" s="6" t="str">
        <f aca="false">IFERROR(G102-F102,"")</f>
        <v/>
      </c>
      <c r="I102" s="2"/>
    </row>
    <row r="103" customFormat="false" ht="13.8" hidden="false" customHeight="false" outlineLevel="0" collapsed="false">
      <c r="A103" s="3"/>
      <c r="B103" s="3"/>
      <c r="C103" s="3" t="s">
        <v>3</v>
      </c>
      <c r="D103" s="3" t="s">
        <v>3</v>
      </c>
      <c r="E103" s="6" t="str">
        <f aca="false">IFERROR(ROUND(SQRT((VLOOKUP(A103,Zones!$B$2:$E$35,2,FALSE())-VLOOKUP(B103,Zones!$B$2:$E$35,2,FALSE()))^2+(VLOOKUP(A103,Zones!$B$2:$E$35,3,FALSE())-VLOOKUP(B103,Zones!$B$2:$E$35,3,FALSE()))^2+(VLOOKUP(A103,Zones!$B$2:$E$35,4,FALSE())-VLOOKUP(B103,Zones!$B$2:$E$35,4,FALSE()))^2),2),"")</f>
        <v/>
      </c>
      <c r="F103" s="6" t="str">
        <f aca="false">IFERROR(VLOOKUP(A103,Zones!$B$2:$E$35,4,FALSE()),"")</f>
        <v/>
      </c>
      <c r="G103" s="6" t="str">
        <f aca="false">IFERROR(VLOOKUP(B103,Zones!$B$2:$E$35,4,FALSE()),"")</f>
        <v/>
      </c>
      <c r="H103" s="6" t="str">
        <f aca="false">IFERROR(G103-F103,"")</f>
        <v/>
      </c>
      <c r="I103" s="2"/>
    </row>
    <row r="104" customFormat="false" ht="13.8" hidden="false" customHeight="false" outlineLevel="0" collapsed="false">
      <c r="A104" s="3"/>
      <c r="B104" s="3"/>
      <c r="C104" s="3" t="s">
        <v>3</v>
      </c>
      <c r="D104" s="3" t="s">
        <v>3</v>
      </c>
      <c r="E104" s="6" t="str">
        <f aca="false">IFERROR(ROUND(SQRT((VLOOKUP(A104,Zones!$B$2:$E$35,2,FALSE())-VLOOKUP(B104,Zones!$B$2:$E$35,2,FALSE()))^2+(VLOOKUP(A104,Zones!$B$2:$E$35,3,FALSE())-VLOOKUP(B104,Zones!$B$2:$E$35,3,FALSE()))^2+(VLOOKUP(A104,Zones!$B$2:$E$35,4,FALSE())-VLOOKUP(B104,Zones!$B$2:$E$35,4,FALSE()))^2),2),"")</f>
        <v/>
      </c>
      <c r="F104" s="6" t="str">
        <f aca="false">IFERROR(VLOOKUP(A104,Zones!$B$2:$E$35,4,FALSE()),"")</f>
        <v/>
      </c>
      <c r="G104" s="6" t="str">
        <f aca="false">IFERROR(VLOOKUP(B104,Zones!$B$2:$E$35,4,FALSE()),"")</f>
        <v/>
      </c>
      <c r="H104" s="6" t="str">
        <f aca="false">IFERROR(G104-F104,"")</f>
        <v/>
      </c>
      <c r="I104" s="2"/>
    </row>
    <row r="105" customFormat="false" ht="13.8" hidden="false" customHeight="false" outlineLevel="0" collapsed="false">
      <c r="A105" s="3"/>
      <c r="B105" s="3"/>
      <c r="C105" s="3" t="s">
        <v>3</v>
      </c>
      <c r="D105" s="3" t="s">
        <v>3</v>
      </c>
      <c r="E105" s="6" t="str">
        <f aca="false">IFERROR(ROUND(SQRT((VLOOKUP(A105,Zones!$B$2:$E$35,2,FALSE())-VLOOKUP(B105,Zones!$B$2:$E$35,2,FALSE()))^2+(VLOOKUP(A105,Zones!$B$2:$E$35,3,FALSE())-VLOOKUP(B105,Zones!$B$2:$E$35,3,FALSE()))^2+(VLOOKUP(A105,Zones!$B$2:$E$35,4,FALSE())-VLOOKUP(B105,Zones!$B$2:$E$35,4,FALSE()))^2),2),"")</f>
        <v/>
      </c>
      <c r="F105" s="6" t="str">
        <f aca="false">IFERROR(VLOOKUP(A105,Zones!$B$2:$E$35,4,FALSE()),"")</f>
        <v/>
      </c>
      <c r="G105" s="6" t="str">
        <f aca="false">IFERROR(VLOOKUP(B105,Zones!$B$2:$E$35,4,FALSE()),"")</f>
        <v/>
      </c>
      <c r="H105" s="6" t="str">
        <f aca="false">IFERROR(G105-F105,"")</f>
        <v/>
      </c>
      <c r="I105" s="2"/>
    </row>
    <row r="106" customFormat="false" ht="13.8" hidden="false" customHeight="false" outlineLevel="0" collapsed="false">
      <c r="A106" s="3"/>
      <c r="B106" s="3"/>
      <c r="C106" s="3" t="s">
        <v>3</v>
      </c>
      <c r="D106" s="3" t="s">
        <v>3</v>
      </c>
      <c r="E106" s="6" t="str">
        <f aca="false">IFERROR(ROUND(SQRT((VLOOKUP(A106,Zones!$B$2:$E$35,2,FALSE())-VLOOKUP(B106,Zones!$B$2:$E$35,2,FALSE()))^2+(VLOOKUP(A106,Zones!$B$2:$E$35,3,FALSE())-VLOOKUP(B106,Zones!$B$2:$E$35,3,FALSE()))^2+(VLOOKUP(A106,Zones!$B$2:$E$35,4,FALSE())-VLOOKUP(B106,Zones!$B$2:$E$35,4,FALSE()))^2),2),"")</f>
        <v/>
      </c>
      <c r="F106" s="6" t="str">
        <f aca="false">IFERROR(VLOOKUP(A106,Zones!$B$2:$E$35,4,FALSE()),"")</f>
        <v/>
      </c>
      <c r="G106" s="6" t="str">
        <f aca="false">IFERROR(VLOOKUP(B106,Zones!$B$2:$E$35,4,FALSE()),"")</f>
        <v/>
      </c>
      <c r="H106" s="6" t="str">
        <f aca="false">IFERROR(G106-F106,"")</f>
        <v/>
      </c>
      <c r="I106" s="2"/>
    </row>
    <row r="107" customFormat="false" ht="13.8" hidden="false" customHeight="false" outlineLevel="0" collapsed="false">
      <c r="A107" s="3"/>
      <c r="B107" s="3"/>
      <c r="C107" s="3" t="s">
        <v>3</v>
      </c>
      <c r="D107" s="3" t="s">
        <v>3</v>
      </c>
      <c r="E107" s="6" t="str">
        <f aca="false">IFERROR(ROUND(SQRT((VLOOKUP(A107,Zones!$B$2:$E$35,2,FALSE())-VLOOKUP(B107,Zones!$B$2:$E$35,2,FALSE()))^2+(VLOOKUP(A107,Zones!$B$2:$E$35,3,FALSE())-VLOOKUP(B107,Zones!$B$2:$E$35,3,FALSE()))^2+(VLOOKUP(A107,Zones!$B$2:$E$35,4,FALSE())-VLOOKUP(B107,Zones!$B$2:$E$35,4,FALSE()))^2),2),"")</f>
        <v/>
      </c>
      <c r="F107" s="6" t="str">
        <f aca="false">IFERROR(VLOOKUP(A107,Zones!$B$2:$E$35,4,FALSE()),"")</f>
        <v/>
      </c>
      <c r="G107" s="6" t="str">
        <f aca="false">IFERROR(VLOOKUP(B107,Zones!$B$2:$E$35,4,FALSE()),"")</f>
        <v/>
      </c>
      <c r="H107" s="6" t="str">
        <f aca="false">IFERROR(G107-F107,"")</f>
        <v/>
      </c>
      <c r="I107" s="2"/>
    </row>
    <row r="108" customFormat="false" ht="13.8" hidden="false" customHeight="false" outlineLevel="0" collapsed="false">
      <c r="A108" s="3"/>
      <c r="B108" s="3"/>
      <c r="C108" s="3" t="s">
        <v>3</v>
      </c>
      <c r="D108" s="3" t="s">
        <v>3</v>
      </c>
      <c r="E108" s="6" t="str">
        <f aca="false">IFERROR(ROUND(SQRT((VLOOKUP(A108,Zones!$B$2:$E$35,2,FALSE())-VLOOKUP(B108,Zones!$B$2:$E$35,2,FALSE()))^2+(VLOOKUP(A108,Zones!$B$2:$E$35,3,FALSE())-VLOOKUP(B108,Zones!$B$2:$E$35,3,FALSE()))^2+(VLOOKUP(A108,Zones!$B$2:$E$35,4,FALSE())-VLOOKUP(B108,Zones!$B$2:$E$35,4,FALSE()))^2),2),"")</f>
        <v/>
      </c>
      <c r="F108" s="6" t="str">
        <f aca="false">IFERROR(VLOOKUP(A108,Zones!$B$2:$E$35,4,FALSE()),"")</f>
        <v/>
      </c>
      <c r="G108" s="6" t="str">
        <f aca="false">IFERROR(VLOOKUP(B108,Zones!$B$2:$E$35,4,FALSE()),"")</f>
        <v/>
      </c>
      <c r="H108" s="6" t="str">
        <f aca="false">IFERROR(G108-F108,"")</f>
        <v/>
      </c>
      <c r="I108" s="2"/>
    </row>
    <row r="109" customFormat="false" ht="13.8" hidden="false" customHeight="false" outlineLevel="0" collapsed="false">
      <c r="A109" s="3"/>
      <c r="B109" s="3"/>
      <c r="C109" s="3" t="s">
        <v>3</v>
      </c>
      <c r="D109" s="3" t="s">
        <v>3</v>
      </c>
      <c r="E109" s="6" t="str">
        <f aca="false">IFERROR(ROUND(SQRT((VLOOKUP(A109,Zones!$B$2:$E$35,2,FALSE())-VLOOKUP(B109,Zones!$B$2:$E$35,2,FALSE()))^2+(VLOOKUP(A109,Zones!$B$2:$E$35,3,FALSE())-VLOOKUP(B109,Zones!$B$2:$E$35,3,FALSE()))^2+(VLOOKUP(A109,Zones!$B$2:$E$35,4,FALSE())-VLOOKUP(B109,Zones!$B$2:$E$35,4,FALSE()))^2),2),"")</f>
        <v/>
      </c>
      <c r="F109" s="6" t="str">
        <f aca="false">IFERROR(VLOOKUP(A109,Zones!$B$2:$E$35,4,FALSE()),"")</f>
        <v/>
      </c>
      <c r="G109" s="6" t="str">
        <f aca="false">IFERROR(VLOOKUP(B109,Zones!$B$2:$E$35,4,FALSE()),"")</f>
        <v/>
      </c>
      <c r="H109" s="6" t="str">
        <f aca="false">IFERROR(G109-F109,"")</f>
        <v/>
      </c>
      <c r="I109" s="2"/>
    </row>
    <row r="110" customFormat="false" ht="13.8" hidden="false" customHeight="false" outlineLevel="0" collapsed="false">
      <c r="A110" s="3"/>
      <c r="B110" s="3"/>
      <c r="C110" s="3" t="s">
        <v>3</v>
      </c>
      <c r="D110" s="3" t="s">
        <v>3</v>
      </c>
      <c r="E110" s="6" t="str">
        <f aca="false">IFERROR(ROUND(SQRT((VLOOKUP(A110,Zones!$B$2:$E$35,2,FALSE())-VLOOKUP(B110,Zones!$B$2:$E$35,2,FALSE()))^2+(VLOOKUP(A110,Zones!$B$2:$E$35,3,FALSE())-VLOOKUP(B110,Zones!$B$2:$E$35,3,FALSE()))^2+(VLOOKUP(A110,Zones!$B$2:$E$35,4,FALSE())-VLOOKUP(B110,Zones!$B$2:$E$35,4,FALSE()))^2),2),"")</f>
        <v/>
      </c>
      <c r="F110" s="6" t="str">
        <f aca="false">IFERROR(VLOOKUP(A110,Zones!$B$2:$E$35,4,FALSE()),"")</f>
        <v/>
      </c>
      <c r="G110" s="6" t="str">
        <f aca="false">IFERROR(VLOOKUP(B110,Zones!$B$2:$E$35,4,FALSE()),"")</f>
        <v/>
      </c>
      <c r="H110" s="6" t="str">
        <f aca="false">IFERROR(G110-F110,"")</f>
        <v/>
      </c>
      <c r="I110" s="2"/>
    </row>
    <row r="111" customFormat="false" ht="13.8" hidden="false" customHeight="false" outlineLevel="0" collapsed="false">
      <c r="A111" s="3"/>
      <c r="B111" s="3"/>
      <c r="C111" s="3" t="s">
        <v>3</v>
      </c>
      <c r="D111" s="3" t="s">
        <v>3</v>
      </c>
      <c r="E111" s="6" t="str">
        <f aca="false">IFERROR(ROUND(SQRT((VLOOKUP(A111,Zones!$B$2:$E$35,2,FALSE())-VLOOKUP(B111,Zones!$B$2:$E$35,2,FALSE()))^2+(VLOOKUP(A111,Zones!$B$2:$E$35,3,FALSE())-VLOOKUP(B111,Zones!$B$2:$E$35,3,FALSE()))^2+(VLOOKUP(A111,Zones!$B$2:$E$35,4,FALSE())-VLOOKUP(B111,Zones!$B$2:$E$35,4,FALSE()))^2),2),"")</f>
        <v/>
      </c>
      <c r="F111" s="6" t="str">
        <f aca="false">IFERROR(VLOOKUP(A111,Zones!$B$2:$E$35,4,FALSE()),"")</f>
        <v/>
      </c>
      <c r="G111" s="6" t="str">
        <f aca="false">IFERROR(VLOOKUP(B111,Zones!$B$2:$E$35,4,FALSE()),"")</f>
        <v/>
      </c>
      <c r="H111" s="6" t="str">
        <f aca="false">IFERROR(G111-F111,"")</f>
        <v/>
      </c>
      <c r="I111" s="2"/>
    </row>
    <row r="112" customFormat="false" ht="13.8" hidden="false" customHeight="false" outlineLevel="0" collapsed="false">
      <c r="A112" s="3"/>
      <c r="B112" s="3"/>
      <c r="C112" s="3" t="s">
        <v>3</v>
      </c>
      <c r="D112" s="3" t="s">
        <v>3</v>
      </c>
      <c r="E112" s="6" t="str">
        <f aca="false">IFERROR(ROUND(SQRT((VLOOKUP(A112,Zones!$B$2:$E$35,2,FALSE())-VLOOKUP(B112,Zones!$B$2:$E$35,2,FALSE()))^2+(VLOOKUP(A112,Zones!$B$2:$E$35,3,FALSE())-VLOOKUP(B112,Zones!$B$2:$E$35,3,FALSE()))^2+(VLOOKUP(A112,Zones!$B$2:$E$35,4,FALSE())-VLOOKUP(B112,Zones!$B$2:$E$35,4,FALSE()))^2),2),"")</f>
        <v/>
      </c>
      <c r="F112" s="6" t="str">
        <f aca="false">IFERROR(VLOOKUP(A112,Zones!$B$2:$E$35,4,FALSE()),"")</f>
        <v/>
      </c>
      <c r="G112" s="6" t="str">
        <f aca="false">IFERROR(VLOOKUP(B112,Zones!$B$2:$E$35,4,FALSE()),"")</f>
        <v/>
      </c>
      <c r="H112" s="6" t="str">
        <f aca="false">IFERROR(G112-F112,"")</f>
        <v/>
      </c>
      <c r="I112" s="2"/>
    </row>
    <row r="113" customFormat="false" ht="13.8" hidden="false" customHeight="false" outlineLevel="0" collapsed="false">
      <c r="A113" s="3"/>
      <c r="B113" s="3"/>
      <c r="C113" s="3" t="s">
        <v>3</v>
      </c>
      <c r="D113" s="3" t="s">
        <v>3</v>
      </c>
      <c r="E113" s="6" t="str">
        <f aca="false">IFERROR(ROUND(SQRT((VLOOKUP(A113,Zones!$B$2:$E$35,2,FALSE())-VLOOKUP(B113,Zones!$B$2:$E$35,2,FALSE()))^2+(VLOOKUP(A113,Zones!$B$2:$E$35,3,FALSE())-VLOOKUP(B113,Zones!$B$2:$E$35,3,FALSE()))^2+(VLOOKUP(A113,Zones!$B$2:$E$35,4,FALSE())-VLOOKUP(B113,Zones!$B$2:$E$35,4,FALSE()))^2),2),"")</f>
        <v/>
      </c>
      <c r="F113" s="6" t="str">
        <f aca="false">IFERROR(VLOOKUP(A113,Zones!$B$2:$E$35,4,FALSE()),"")</f>
        <v/>
      </c>
      <c r="G113" s="6" t="str">
        <f aca="false">IFERROR(VLOOKUP(B113,Zones!$B$2:$E$35,4,FALSE()),"")</f>
        <v/>
      </c>
      <c r="H113" s="6" t="str">
        <f aca="false">IFERROR(G113-F113,"")</f>
        <v/>
      </c>
      <c r="I113" s="2"/>
    </row>
    <row r="114" customFormat="false" ht="13.8" hidden="false" customHeight="false" outlineLevel="0" collapsed="false">
      <c r="A114" s="3"/>
      <c r="B114" s="3"/>
      <c r="C114" s="3" t="s">
        <v>3</v>
      </c>
      <c r="D114" s="3" t="s">
        <v>3</v>
      </c>
      <c r="E114" s="6" t="str">
        <f aca="false">IFERROR(ROUND(SQRT((VLOOKUP(A114,Zones!$B$2:$E$35,2,FALSE())-VLOOKUP(B114,Zones!$B$2:$E$35,2,FALSE()))^2+(VLOOKUP(A114,Zones!$B$2:$E$35,3,FALSE())-VLOOKUP(B114,Zones!$B$2:$E$35,3,FALSE()))^2+(VLOOKUP(A114,Zones!$B$2:$E$35,4,FALSE())-VLOOKUP(B114,Zones!$B$2:$E$35,4,FALSE()))^2),2),"")</f>
        <v/>
      </c>
      <c r="F114" s="6" t="str">
        <f aca="false">IFERROR(VLOOKUP(A114,Zones!$B$2:$E$35,4,FALSE()),"")</f>
        <v/>
      </c>
      <c r="G114" s="6" t="str">
        <f aca="false">IFERROR(VLOOKUP(B114,Zones!$B$2:$E$35,4,FALSE()),"")</f>
        <v/>
      </c>
      <c r="H114" s="6" t="str">
        <f aca="false">IFERROR(G114-F114,"")</f>
        <v/>
      </c>
      <c r="I114" s="2"/>
    </row>
    <row r="115" customFormat="false" ht="13.8" hidden="false" customHeight="false" outlineLevel="0" collapsed="false">
      <c r="A115" s="3"/>
      <c r="B115" s="3"/>
      <c r="C115" s="3" t="s">
        <v>3</v>
      </c>
      <c r="D115" s="3" t="s">
        <v>3</v>
      </c>
      <c r="E115" s="6" t="str">
        <f aca="false">IFERROR(ROUND(SQRT((VLOOKUP(A115,Zones!$B$2:$E$35,2,FALSE())-VLOOKUP(B115,Zones!$B$2:$E$35,2,FALSE()))^2+(VLOOKUP(A115,Zones!$B$2:$E$35,3,FALSE())-VLOOKUP(B115,Zones!$B$2:$E$35,3,FALSE()))^2+(VLOOKUP(A115,Zones!$B$2:$E$35,4,FALSE())-VLOOKUP(B115,Zones!$B$2:$E$35,4,FALSE()))^2),2),"")</f>
        <v/>
      </c>
      <c r="F115" s="6" t="str">
        <f aca="false">IFERROR(VLOOKUP(A115,Zones!$B$2:$E$35,4,FALSE()),"")</f>
        <v/>
      </c>
      <c r="G115" s="6" t="str">
        <f aca="false">IFERROR(VLOOKUP(B115,Zones!$B$2:$E$35,4,FALSE()),"")</f>
        <v/>
      </c>
      <c r="H115" s="6" t="str">
        <f aca="false">IFERROR(G115-F115,"")</f>
        <v/>
      </c>
      <c r="I115" s="2"/>
    </row>
    <row r="116" customFormat="false" ht="13.8" hidden="false" customHeight="false" outlineLevel="0" collapsed="false">
      <c r="A116" s="3"/>
      <c r="B116" s="3"/>
      <c r="C116" s="3" t="s">
        <v>3</v>
      </c>
      <c r="D116" s="3" t="s">
        <v>3</v>
      </c>
      <c r="E116" s="6" t="str">
        <f aca="false">IFERROR(ROUND(SQRT((VLOOKUP(A116,Zones!$B$2:$E$35,2,FALSE())-VLOOKUP(B116,Zones!$B$2:$E$35,2,FALSE()))^2+(VLOOKUP(A116,Zones!$B$2:$E$35,3,FALSE())-VLOOKUP(B116,Zones!$B$2:$E$35,3,FALSE()))^2+(VLOOKUP(A116,Zones!$B$2:$E$35,4,FALSE())-VLOOKUP(B116,Zones!$B$2:$E$35,4,FALSE()))^2),2),"")</f>
        <v/>
      </c>
      <c r="F116" s="6" t="str">
        <f aca="false">IFERROR(VLOOKUP(A116,Zones!$B$2:$E$35,4,FALSE()),"")</f>
        <v/>
      </c>
      <c r="G116" s="6" t="str">
        <f aca="false">IFERROR(VLOOKUP(B116,Zones!$B$2:$E$35,4,FALSE()),"")</f>
        <v/>
      </c>
      <c r="H116" s="6" t="str">
        <f aca="false">IFERROR(G116-F116,"")</f>
        <v/>
      </c>
      <c r="I116" s="2"/>
    </row>
    <row r="117" customFormat="false" ht="13.8" hidden="false" customHeight="false" outlineLevel="0" collapsed="false">
      <c r="A117" s="3"/>
      <c r="B117" s="3"/>
      <c r="C117" s="3" t="s">
        <v>3</v>
      </c>
      <c r="D117" s="3" t="s">
        <v>3</v>
      </c>
      <c r="E117" s="6" t="str">
        <f aca="false">IFERROR(ROUND(SQRT((VLOOKUP(A117,Zones!$B$2:$E$35,2,FALSE())-VLOOKUP(B117,Zones!$B$2:$E$35,2,FALSE()))^2+(VLOOKUP(A117,Zones!$B$2:$E$35,3,FALSE())-VLOOKUP(B117,Zones!$B$2:$E$35,3,FALSE()))^2+(VLOOKUP(A117,Zones!$B$2:$E$35,4,FALSE())-VLOOKUP(B117,Zones!$B$2:$E$35,4,FALSE()))^2),2),"")</f>
        <v/>
      </c>
      <c r="F117" s="6" t="str">
        <f aca="false">IFERROR(VLOOKUP(A117,Zones!$B$2:$E$35,4,FALSE()),"")</f>
        <v/>
      </c>
      <c r="G117" s="6" t="str">
        <f aca="false">IFERROR(VLOOKUP(B117,Zones!$B$2:$E$35,4,FALSE()),"")</f>
        <v/>
      </c>
      <c r="H117" s="6" t="str">
        <f aca="false">IFERROR(G117-F117,"")</f>
        <v/>
      </c>
      <c r="I117" s="2"/>
    </row>
    <row r="118" customFormat="false" ht="13.8" hidden="false" customHeight="false" outlineLevel="0" collapsed="false">
      <c r="A118" s="3"/>
      <c r="B118" s="3"/>
      <c r="C118" s="3" t="s">
        <v>3</v>
      </c>
      <c r="D118" s="3" t="s">
        <v>3</v>
      </c>
      <c r="E118" s="6" t="str">
        <f aca="false">IFERROR(ROUND(SQRT((VLOOKUP(A118,Zones!$B$2:$E$35,2,FALSE())-VLOOKUP(B118,Zones!$B$2:$E$35,2,FALSE()))^2+(VLOOKUP(A118,Zones!$B$2:$E$35,3,FALSE())-VLOOKUP(B118,Zones!$B$2:$E$35,3,FALSE()))^2+(VLOOKUP(A118,Zones!$B$2:$E$35,4,FALSE())-VLOOKUP(B118,Zones!$B$2:$E$35,4,FALSE()))^2),2),"")</f>
        <v/>
      </c>
      <c r="F118" s="6" t="str">
        <f aca="false">IFERROR(VLOOKUP(A118,Zones!$B$2:$E$35,4,FALSE()),"")</f>
        <v/>
      </c>
      <c r="G118" s="6" t="str">
        <f aca="false">IFERROR(VLOOKUP(B118,Zones!$B$2:$E$35,4,FALSE()),"")</f>
        <v/>
      </c>
      <c r="H118" s="6" t="str">
        <f aca="false">IFERROR(G118-F118,"")</f>
        <v/>
      </c>
      <c r="I118" s="2"/>
    </row>
    <row r="119" customFormat="false" ht="13.8" hidden="false" customHeight="false" outlineLevel="0" collapsed="false">
      <c r="A119" s="3"/>
      <c r="B119" s="3"/>
      <c r="C119" s="3" t="s">
        <v>3</v>
      </c>
      <c r="D119" s="3" t="s">
        <v>3</v>
      </c>
      <c r="E119" s="6" t="str">
        <f aca="false">IFERROR(ROUND(SQRT((VLOOKUP(A119,Zones!$B$2:$E$35,2,FALSE())-VLOOKUP(B119,Zones!$B$2:$E$35,2,FALSE()))^2+(VLOOKUP(A119,Zones!$B$2:$E$35,3,FALSE())-VLOOKUP(B119,Zones!$B$2:$E$35,3,FALSE()))^2+(VLOOKUP(A119,Zones!$B$2:$E$35,4,FALSE())-VLOOKUP(B119,Zones!$B$2:$E$35,4,FALSE()))^2),2),"")</f>
        <v/>
      </c>
      <c r="F119" s="6" t="str">
        <f aca="false">IFERROR(VLOOKUP(A119,Zones!$B$2:$E$35,4,FALSE()),"")</f>
        <v/>
      </c>
      <c r="G119" s="6" t="str">
        <f aca="false">IFERROR(VLOOKUP(B119,Zones!$B$2:$E$35,4,FALSE()),"")</f>
        <v/>
      </c>
      <c r="H119" s="6" t="str">
        <f aca="false">IFERROR(G119-F119,"")</f>
        <v/>
      </c>
      <c r="I119" s="2"/>
    </row>
    <row r="120" customFormat="false" ht="13.8" hidden="false" customHeight="false" outlineLevel="0" collapsed="false">
      <c r="A120" s="3"/>
      <c r="B120" s="3"/>
      <c r="C120" s="3" t="s">
        <v>3</v>
      </c>
      <c r="D120" s="3" t="s">
        <v>3</v>
      </c>
      <c r="E120" s="6" t="str">
        <f aca="false">IFERROR(ROUND(SQRT((VLOOKUP(A120,Zones!$B$2:$E$35,2,FALSE())-VLOOKUP(B120,Zones!$B$2:$E$35,2,FALSE()))^2+(VLOOKUP(A120,Zones!$B$2:$E$35,3,FALSE())-VLOOKUP(B120,Zones!$B$2:$E$35,3,FALSE()))^2+(VLOOKUP(A120,Zones!$B$2:$E$35,4,FALSE())-VLOOKUP(B120,Zones!$B$2:$E$35,4,FALSE()))^2),2),"")</f>
        <v/>
      </c>
      <c r="F120" s="6" t="str">
        <f aca="false">IFERROR(VLOOKUP(A120,Zones!$B$2:$E$35,4,FALSE()),"")</f>
        <v/>
      </c>
      <c r="G120" s="6" t="str">
        <f aca="false">IFERROR(VLOOKUP(B120,Zones!$B$2:$E$35,4,FALSE()),"")</f>
        <v/>
      </c>
      <c r="H120" s="6" t="str">
        <f aca="false">IFERROR(G120-F120,"")</f>
        <v/>
      </c>
      <c r="I120" s="2"/>
    </row>
    <row r="121" customFormat="false" ht="13.8" hidden="false" customHeight="false" outlineLevel="0" collapsed="false">
      <c r="A121" s="3"/>
      <c r="B121" s="3"/>
      <c r="C121" s="3" t="s">
        <v>3</v>
      </c>
      <c r="D121" s="3" t="s">
        <v>3</v>
      </c>
      <c r="E121" s="6" t="str">
        <f aca="false">IFERROR(ROUND(SQRT((VLOOKUP(A121,Zones!$B$2:$E$35,2,FALSE())-VLOOKUP(B121,Zones!$B$2:$E$35,2,FALSE()))^2+(VLOOKUP(A121,Zones!$B$2:$E$35,3,FALSE())-VLOOKUP(B121,Zones!$B$2:$E$35,3,FALSE()))^2+(VLOOKUP(A121,Zones!$B$2:$E$35,4,FALSE())-VLOOKUP(B121,Zones!$B$2:$E$35,4,FALSE()))^2),2),"")</f>
        <v/>
      </c>
      <c r="F121" s="6" t="str">
        <f aca="false">IFERROR(VLOOKUP(A121,Zones!$B$2:$E$35,4,FALSE()),"")</f>
        <v/>
      </c>
      <c r="G121" s="6" t="str">
        <f aca="false">IFERROR(VLOOKUP(B121,Zones!$B$2:$E$35,4,FALSE()),"")</f>
        <v/>
      </c>
      <c r="H121" s="6" t="str">
        <f aca="false">IFERROR(G121-F121,"")</f>
        <v/>
      </c>
      <c r="I121" s="2"/>
    </row>
    <row r="122" customFormat="false" ht="13.8" hidden="false" customHeight="false" outlineLevel="0" collapsed="false">
      <c r="A122" s="3"/>
      <c r="B122" s="3"/>
      <c r="C122" s="3" t="s">
        <v>3</v>
      </c>
      <c r="D122" s="3" t="s">
        <v>3</v>
      </c>
      <c r="E122" s="6" t="str">
        <f aca="false">IFERROR(ROUND(SQRT((VLOOKUP(A122,Zones!$B$2:$E$35,2,FALSE())-VLOOKUP(B122,Zones!$B$2:$E$35,2,FALSE()))^2+(VLOOKUP(A122,Zones!$B$2:$E$35,3,FALSE())-VLOOKUP(B122,Zones!$B$2:$E$35,3,FALSE()))^2+(VLOOKUP(A122,Zones!$B$2:$E$35,4,FALSE())-VLOOKUP(B122,Zones!$B$2:$E$35,4,FALSE()))^2),2),"")</f>
        <v/>
      </c>
      <c r="F122" s="6" t="str">
        <f aca="false">IFERROR(VLOOKUP(A122,Zones!$B$2:$E$35,4,FALSE()),"")</f>
        <v/>
      </c>
      <c r="G122" s="6" t="str">
        <f aca="false">IFERROR(VLOOKUP(B122,Zones!$B$2:$E$35,4,FALSE()),"")</f>
        <v/>
      </c>
      <c r="H122" s="6" t="str">
        <f aca="false">IFERROR(G122-F122,"")</f>
        <v/>
      </c>
      <c r="I122" s="2"/>
    </row>
    <row r="123" customFormat="false" ht="13.8" hidden="false" customHeight="false" outlineLevel="0" collapsed="false">
      <c r="A123" s="3"/>
      <c r="B123" s="3"/>
      <c r="C123" s="3" t="s">
        <v>3</v>
      </c>
      <c r="D123" s="3" t="s">
        <v>3</v>
      </c>
      <c r="E123" s="6" t="str">
        <f aca="false">IFERROR(ROUND(SQRT((VLOOKUP(A123,Zones!$B$2:$E$35,2,FALSE())-VLOOKUP(B123,Zones!$B$2:$E$35,2,FALSE()))^2+(VLOOKUP(A123,Zones!$B$2:$E$35,3,FALSE())-VLOOKUP(B123,Zones!$B$2:$E$35,3,FALSE()))^2+(VLOOKUP(A123,Zones!$B$2:$E$35,4,FALSE())-VLOOKUP(B123,Zones!$B$2:$E$35,4,FALSE()))^2),2),"")</f>
        <v/>
      </c>
      <c r="F123" s="6" t="str">
        <f aca="false">IFERROR(VLOOKUP(A123,Zones!$B$2:$E$35,4,FALSE()),"")</f>
        <v/>
      </c>
      <c r="G123" s="6" t="str">
        <f aca="false">IFERROR(VLOOKUP(B123,Zones!$B$2:$E$35,4,FALSE()),"")</f>
        <v/>
      </c>
      <c r="H123" s="6" t="str">
        <f aca="false">IFERROR(G123-F123,"")</f>
        <v/>
      </c>
      <c r="I123" s="2"/>
    </row>
    <row r="124" customFormat="false" ht="13.8" hidden="false" customHeight="false" outlineLevel="0" collapsed="false">
      <c r="A124" s="3"/>
      <c r="B124" s="3"/>
      <c r="C124" s="3" t="s">
        <v>3</v>
      </c>
      <c r="D124" s="3" t="s">
        <v>3</v>
      </c>
      <c r="E124" s="6" t="str">
        <f aca="false">IFERROR(ROUND(SQRT((VLOOKUP(A124,Zones!$B$2:$E$35,2,FALSE())-VLOOKUP(B124,Zones!$B$2:$E$35,2,FALSE()))^2+(VLOOKUP(A124,Zones!$B$2:$E$35,3,FALSE())-VLOOKUP(B124,Zones!$B$2:$E$35,3,FALSE()))^2+(VLOOKUP(A124,Zones!$B$2:$E$35,4,FALSE())-VLOOKUP(B124,Zones!$B$2:$E$35,4,FALSE()))^2),2),"")</f>
        <v/>
      </c>
      <c r="F124" s="6" t="str">
        <f aca="false">IFERROR(VLOOKUP(A124,Zones!$B$2:$E$35,4,FALSE()),"")</f>
        <v/>
      </c>
      <c r="G124" s="6" t="str">
        <f aca="false">IFERROR(VLOOKUP(B124,Zones!$B$2:$E$35,4,FALSE()),"")</f>
        <v/>
      </c>
      <c r="H124" s="6" t="str">
        <f aca="false">IFERROR(G124-F124,"")</f>
        <v/>
      </c>
      <c r="I124" s="2"/>
    </row>
    <row r="125" customFormat="false" ht="13.8" hidden="false" customHeight="false" outlineLevel="0" collapsed="false">
      <c r="A125" s="3"/>
      <c r="B125" s="3"/>
      <c r="C125" s="3" t="s">
        <v>3</v>
      </c>
      <c r="D125" s="3" t="s">
        <v>3</v>
      </c>
      <c r="E125" s="6" t="str">
        <f aca="false">IFERROR(ROUND(SQRT((VLOOKUP(A125,Zones!$B$2:$E$35,2,FALSE())-VLOOKUP(B125,Zones!$B$2:$E$35,2,FALSE()))^2+(VLOOKUP(A125,Zones!$B$2:$E$35,3,FALSE())-VLOOKUP(B125,Zones!$B$2:$E$35,3,FALSE()))^2+(VLOOKUP(A125,Zones!$B$2:$E$35,4,FALSE())-VLOOKUP(B125,Zones!$B$2:$E$35,4,FALSE()))^2),2),"")</f>
        <v/>
      </c>
      <c r="F125" s="6" t="str">
        <f aca="false">IFERROR(VLOOKUP(A125,Zones!$B$2:$E$35,4,FALSE()),"")</f>
        <v/>
      </c>
      <c r="G125" s="6" t="str">
        <f aca="false">IFERROR(VLOOKUP(B125,Zones!$B$2:$E$35,4,FALSE()),"")</f>
        <v/>
      </c>
      <c r="H125" s="6" t="str">
        <f aca="false">IFERROR(G125-F125,"")</f>
        <v/>
      </c>
      <c r="I125" s="2"/>
    </row>
    <row r="126" customFormat="false" ht="13.8" hidden="false" customHeight="false" outlineLevel="0" collapsed="false">
      <c r="A126" s="3"/>
      <c r="B126" s="3"/>
      <c r="C126" s="3" t="s">
        <v>3</v>
      </c>
      <c r="D126" s="3" t="s">
        <v>3</v>
      </c>
      <c r="E126" s="6" t="str">
        <f aca="false">IFERROR(ROUND(SQRT((VLOOKUP(A126,Zones!$B$2:$E$35,2,FALSE())-VLOOKUP(B126,Zones!$B$2:$E$35,2,FALSE()))^2+(VLOOKUP(A126,Zones!$B$2:$E$35,3,FALSE())-VLOOKUP(B126,Zones!$B$2:$E$35,3,FALSE()))^2+(VLOOKUP(A126,Zones!$B$2:$E$35,4,FALSE())-VLOOKUP(B126,Zones!$B$2:$E$35,4,FALSE()))^2),2),"")</f>
        <v/>
      </c>
      <c r="F126" s="6" t="str">
        <f aca="false">IFERROR(VLOOKUP(A126,Zones!$B$2:$E$35,4,FALSE()),"")</f>
        <v/>
      </c>
      <c r="G126" s="6" t="str">
        <f aca="false">IFERROR(VLOOKUP(B126,Zones!$B$2:$E$35,4,FALSE()),"")</f>
        <v/>
      </c>
      <c r="H126" s="6" t="str">
        <f aca="false">IFERROR(G126-F126,"")</f>
        <v/>
      </c>
      <c r="I126" s="2"/>
    </row>
    <row r="127" customFormat="false" ht="13.8" hidden="false" customHeight="false" outlineLevel="0" collapsed="false">
      <c r="A127" s="3"/>
      <c r="B127" s="3"/>
      <c r="C127" s="3" t="s">
        <v>3</v>
      </c>
      <c r="D127" s="3" t="s">
        <v>3</v>
      </c>
      <c r="E127" s="6" t="str">
        <f aca="false">IFERROR(ROUND(SQRT((VLOOKUP(A127,Zones!$B$2:$E$35,2,FALSE())-VLOOKUP(B127,Zones!$B$2:$E$35,2,FALSE()))^2+(VLOOKUP(A127,Zones!$B$2:$E$35,3,FALSE())-VLOOKUP(B127,Zones!$B$2:$E$35,3,FALSE()))^2+(VLOOKUP(A127,Zones!$B$2:$E$35,4,FALSE())-VLOOKUP(B127,Zones!$B$2:$E$35,4,FALSE()))^2),2),"")</f>
        <v/>
      </c>
      <c r="F127" s="6" t="str">
        <f aca="false">IFERROR(VLOOKUP(A127,Zones!$B$2:$E$35,4,FALSE()),"")</f>
        <v/>
      </c>
      <c r="G127" s="6" t="str">
        <f aca="false">IFERROR(VLOOKUP(B127,Zones!$B$2:$E$35,4,FALSE()),"")</f>
        <v/>
      </c>
      <c r="H127" s="6" t="str">
        <f aca="false">IFERROR(G127-F127,"")</f>
        <v/>
      </c>
      <c r="I127" s="2"/>
    </row>
    <row r="128" customFormat="false" ht="13.8" hidden="false" customHeight="false" outlineLevel="0" collapsed="false">
      <c r="A128" s="3"/>
      <c r="B128" s="3"/>
      <c r="C128" s="3" t="s">
        <v>3</v>
      </c>
      <c r="D128" s="3" t="s">
        <v>3</v>
      </c>
      <c r="E128" s="6" t="str">
        <f aca="false">IFERROR(ROUND(SQRT((VLOOKUP(A128,Zones!$B$2:$E$35,2,FALSE())-VLOOKUP(B128,Zones!$B$2:$E$35,2,FALSE()))^2+(VLOOKUP(A128,Zones!$B$2:$E$35,3,FALSE())-VLOOKUP(B128,Zones!$B$2:$E$35,3,FALSE()))^2+(VLOOKUP(A128,Zones!$B$2:$E$35,4,FALSE())-VLOOKUP(B128,Zones!$B$2:$E$35,4,FALSE()))^2),2),"")</f>
        <v/>
      </c>
      <c r="F128" s="6" t="str">
        <f aca="false">IFERROR(VLOOKUP(A128,Zones!$B$2:$E$35,4,FALSE()),"")</f>
        <v/>
      </c>
      <c r="G128" s="6" t="str">
        <f aca="false">IFERROR(VLOOKUP(B128,Zones!$B$2:$E$35,4,FALSE()),"")</f>
        <v/>
      </c>
      <c r="H128" s="6" t="str">
        <f aca="false">IFERROR(G128-F128,"")</f>
        <v/>
      </c>
      <c r="I128" s="2"/>
    </row>
    <row r="129" customFormat="false" ht="13.8" hidden="false" customHeight="false" outlineLevel="0" collapsed="false">
      <c r="A129" s="3"/>
      <c r="B129" s="3"/>
      <c r="C129" s="3" t="s">
        <v>3</v>
      </c>
      <c r="D129" s="3" t="s">
        <v>3</v>
      </c>
      <c r="E129" s="6" t="str">
        <f aca="false">IFERROR(ROUND(SQRT((VLOOKUP(A129,Zones!$B$2:$E$35,2,FALSE())-VLOOKUP(B129,Zones!$B$2:$E$35,2,FALSE()))^2+(VLOOKUP(A129,Zones!$B$2:$E$35,3,FALSE())-VLOOKUP(B129,Zones!$B$2:$E$35,3,FALSE()))^2+(VLOOKUP(A129,Zones!$B$2:$E$35,4,FALSE())-VLOOKUP(B129,Zones!$B$2:$E$35,4,FALSE()))^2),2),"")</f>
        <v/>
      </c>
      <c r="F129" s="6" t="str">
        <f aca="false">IFERROR(VLOOKUP(A129,Zones!$B$2:$E$35,4,FALSE()),"")</f>
        <v/>
      </c>
      <c r="G129" s="6" t="str">
        <f aca="false">IFERROR(VLOOKUP(B129,Zones!$B$2:$E$35,4,FALSE()),"")</f>
        <v/>
      </c>
      <c r="H129" s="6" t="str">
        <f aca="false">IFERROR(G129-F129,"")</f>
        <v/>
      </c>
      <c r="I129" s="2"/>
    </row>
    <row r="130" customFormat="false" ht="13.8" hidden="false" customHeight="false" outlineLevel="0" collapsed="false">
      <c r="A130" s="3"/>
      <c r="B130" s="3"/>
      <c r="C130" s="3" t="s">
        <v>3</v>
      </c>
      <c r="D130" s="3" t="s">
        <v>3</v>
      </c>
      <c r="E130" s="6" t="str">
        <f aca="false">IFERROR(ROUND(SQRT((VLOOKUP(A130,Zones!$B$2:$E$35,2,FALSE())-VLOOKUP(B130,Zones!$B$2:$E$35,2,FALSE()))^2+(VLOOKUP(A130,Zones!$B$2:$E$35,3,FALSE())-VLOOKUP(B130,Zones!$B$2:$E$35,3,FALSE()))^2+(VLOOKUP(A130,Zones!$B$2:$E$35,4,FALSE())-VLOOKUP(B130,Zones!$B$2:$E$35,4,FALSE()))^2),2),"")</f>
        <v/>
      </c>
      <c r="F130" s="6" t="str">
        <f aca="false">IFERROR(VLOOKUP(A130,Zones!$B$2:$E$35,4,FALSE()),"")</f>
        <v/>
      </c>
      <c r="G130" s="6" t="str">
        <f aca="false">IFERROR(VLOOKUP(B130,Zones!$B$2:$E$35,4,FALSE()),"")</f>
        <v/>
      </c>
      <c r="H130" s="6" t="str">
        <f aca="false">IFERROR(G130-F130,"")</f>
        <v/>
      </c>
      <c r="I130" s="2"/>
    </row>
    <row r="131" customFormat="false" ht="13.8" hidden="false" customHeight="false" outlineLevel="0" collapsed="false">
      <c r="A131" s="3"/>
      <c r="B131" s="3"/>
      <c r="C131" s="3" t="s">
        <v>3</v>
      </c>
      <c r="D131" s="3" t="s">
        <v>3</v>
      </c>
      <c r="E131" s="6" t="str">
        <f aca="false">IFERROR(ROUND(SQRT((VLOOKUP(A131,Zones!$B$2:$E$35,2,FALSE())-VLOOKUP(B131,Zones!$B$2:$E$35,2,FALSE()))^2+(VLOOKUP(A131,Zones!$B$2:$E$35,3,FALSE())-VLOOKUP(B131,Zones!$B$2:$E$35,3,FALSE()))^2+(VLOOKUP(A131,Zones!$B$2:$E$35,4,FALSE())-VLOOKUP(B131,Zones!$B$2:$E$35,4,FALSE()))^2),2),"")</f>
        <v/>
      </c>
      <c r="F131" s="6" t="str">
        <f aca="false">IFERROR(VLOOKUP(A131,Zones!$B$2:$E$35,4,FALSE()),"")</f>
        <v/>
      </c>
      <c r="G131" s="6" t="str">
        <f aca="false">IFERROR(VLOOKUP(B131,Zones!$B$2:$E$35,4,FALSE()),"")</f>
        <v/>
      </c>
      <c r="H131" s="6" t="str">
        <f aca="false">IFERROR(G131-F131,"")</f>
        <v/>
      </c>
      <c r="I131" s="2"/>
    </row>
    <row r="132" customFormat="false" ht="13.8" hidden="false" customHeight="false" outlineLevel="0" collapsed="false">
      <c r="A132" s="3"/>
      <c r="B132" s="3"/>
      <c r="C132" s="3" t="s">
        <v>3</v>
      </c>
      <c r="D132" s="3" t="s">
        <v>3</v>
      </c>
      <c r="E132" s="6" t="str">
        <f aca="false">IFERROR(ROUND(SQRT((VLOOKUP(A132,Zones!$B$2:$E$35,2,FALSE())-VLOOKUP(B132,Zones!$B$2:$E$35,2,FALSE()))^2+(VLOOKUP(A132,Zones!$B$2:$E$35,3,FALSE())-VLOOKUP(B132,Zones!$B$2:$E$35,3,FALSE()))^2+(VLOOKUP(A132,Zones!$B$2:$E$35,4,FALSE())-VLOOKUP(B132,Zones!$B$2:$E$35,4,FALSE()))^2),2),"")</f>
        <v/>
      </c>
      <c r="F132" s="6" t="str">
        <f aca="false">IFERROR(VLOOKUP(A132,Zones!$B$2:$E$35,4,FALSE()),"")</f>
        <v/>
      </c>
      <c r="G132" s="6" t="str">
        <f aca="false">IFERROR(VLOOKUP(B132,Zones!$B$2:$E$35,4,FALSE()),"")</f>
        <v/>
      </c>
      <c r="H132" s="6" t="str">
        <f aca="false">IFERROR(G132-F132,"")</f>
        <v/>
      </c>
      <c r="I132" s="2"/>
    </row>
    <row r="133" customFormat="false" ht="13.8" hidden="false" customHeight="false" outlineLevel="0" collapsed="false">
      <c r="A133" s="3"/>
      <c r="B133" s="3"/>
      <c r="C133" s="3" t="s">
        <v>3</v>
      </c>
      <c r="D133" s="3" t="s">
        <v>3</v>
      </c>
      <c r="E133" s="6" t="str">
        <f aca="false">IFERROR(ROUND(SQRT((VLOOKUP(A133,Zones!$B$2:$E$35,2,FALSE())-VLOOKUP(B133,Zones!$B$2:$E$35,2,FALSE()))^2+(VLOOKUP(A133,Zones!$B$2:$E$35,3,FALSE())-VLOOKUP(B133,Zones!$B$2:$E$35,3,FALSE()))^2+(VLOOKUP(A133,Zones!$B$2:$E$35,4,FALSE())-VLOOKUP(B133,Zones!$B$2:$E$35,4,FALSE()))^2),2),"")</f>
        <v/>
      </c>
      <c r="F133" s="6" t="str">
        <f aca="false">IFERROR(VLOOKUP(A133,Zones!$B$2:$E$35,4,FALSE()),"")</f>
        <v/>
      </c>
      <c r="G133" s="6" t="str">
        <f aca="false">IFERROR(VLOOKUP(B133,Zones!$B$2:$E$35,4,FALSE()),"")</f>
        <v/>
      </c>
      <c r="H133" s="6" t="str">
        <f aca="false">IFERROR(G133-F133,"")</f>
        <v/>
      </c>
      <c r="I133" s="2"/>
    </row>
    <row r="134" customFormat="false" ht="13.8" hidden="false" customHeight="false" outlineLevel="0" collapsed="false">
      <c r="A134" s="3"/>
      <c r="B134" s="3"/>
      <c r="C134" s="3" t="s">
        <v>3</v>
      </c>
      <c r="D134" s="3" t="s">
        <v>3</v>
      </c>
      <c r="E134" s="6" t="str">
        <f aca="false">IFERROR(ROUND(SQRT((VLOOKUP(A134,Zones!$B$2:$E$35,2,FALSE())-VLOOKUP(B134,Zones!$B$2:$E$35,2,FALSE()))^2+(VLOOKUP(A134,Zones!$B$2:$E$35,3,FALSE())-VLOOKUP(B134,Zones!$B$2:$E$35,3,FALSE()))^2+(VLOOKUP(A134,Zones!$B$2:$E$35,4,FALSE())-VLOOKUP(B134,Zones!$B$2:$E$35,4,FALSE()))^2),2),"")</f>
        <v/>
      </c>
      <c r="F134" s="6" t="str">
        <f aca="false">IFERROR(VLOOKUP(A134,Zones!$B$2:$E$35,4,FALSE()),"")</f>
        <v/>
      </c>
      <c r="G134" s="6" t="str">
        <f aca="false">IFERROR(VLOOKUP(B134,Zones!$B$2:$E$35,4,FALSE()),"")</f>
        <v/>
      </c>
      <c r="H134" s="6" t="str">
        <f aca="false">IFERROR(G134-F134,"")</f>
        <v/>
      </c>
      <c r="I134" s="2"/>
    </row>
    <row r="135" customFormat="false" ht="13.8" hidden="false" customHeight="false" outlineLevel="0" collapsed="false">
      <c r="A135" s="3"/>
      <c r="B135" s="3"/>
      <c r="C135" s="3" t="s">
        <v>3</v>
      </c>
      <c r="D135" s="3" t="s">
        <v>3</v>
      </c>
      <c r="E135" s="6" t="str">
        <f aca="false">IFERROR(ROUND(SQRT((VLOOKUP(A135,Zones!$B$2:$E$35,2,FALSE())-VLOOKUP(B135,Zones!$B$2:$E$35,2,FALSE()))^2+(VLOOKUP(A135,Zones!$B$2:$E$35,3,FALSE())-VLOOKUP(B135,Zones!$B$2:$E$35,3,FALSE()))^2+(VLOOKUP(A135,Zones!$B$2:$E$35,4,FALSE())-VLOOKUP(B135,Zones!$B$2:$E$35,4,FALSE()))^2),2),"")</f>
        <v/>
      </c>
      <c r="F135" s="6" t="str">
        <f aca="false">IFERROR(VLOOKUP(A135,Zones!$B$2:$E$35,4,FALSE()),"")</f>
        <v/>
      </c>
      <c r="G135" s="6" t="str">
        <f aca="false">IFERROR(VLOOKUP(B135,Zones!$B$2:$E$35,4,FALSE()),"")</f>
        <v/>
      </c>
      <c r="H135" s="6" t="str">
        <f aca="false">IFERROR(G135-F135,"")</f>
        <v/>
      </c>
      <c r="I135" s="2"/>
    </row>
    <row r="136" customFormat="false" ht="13.8" hidden="false" customHeight="false" outlineLevel="0" collapsed="false">
      <c r="A136" s="3"/>
      <c r="B136" s="3"/>
      <c r="C136" s="3" t="s">
        <v>3</v>
      </c>
      <c r="D136" s="3" t="s">
        <v>3</v>
      </c>
      <c r="E136" s="6" t="str">
        <f aca="false">IFERROR(ROUND(SQRT((VLOOKUP(A136,Zones!$B$2:$E$35,2,FALSE())-VLOOKUP(B136,Zones!$B$2:$E$35,2,FALSE()))^2+(VLOOKUP(A136,Zones!$B$2:$E$35,3,FALSE())-VLOOKUP(B136,Zones!$B$2:$E$35,3,FALSE()))^2+(VLOOKUP(A136,Zones!$B$2:$E$35,4,FALSE())-VLOOKUP(B136,Zones!$B$2:$E$35,4,FALSE()))^2),2),"")</f>
        <v/>
      </c>
      <c r="F136" s="6" t="str">
        <f aca="false">IFERROR(VLOOKUP(A136,Zones!$B$2:$E$35,4,FALSE()),"")</f>
        <v/>
      </c>
      <c r="G136" s="6" t="str">
        <f aca="false">IFERROR(VLOOKUP(B136,Zones!$B$2:$E$35,4,FALSE()),"")</f>
        <v/>
      </c>
      <c r="H136" s="6" t="str">
        <f aca="false">IFERROR(G136-F136,"")</f>
        <v/>
      </c>
      <c r="I136" s="2"/>
    </row>
    <row r="137" customFormat="false" ht="13.8" hidden="false" customHeight="false" outlineLevel="0" collapsed="false">
      <c r="A137" s="3"/>
      <c r="B137" s="3"/>
      <c r="C137" s="3" t="s">
        <v>3</v>
      </c>
      <c r="D137" s="3" t="s">
        <v>3</v>
      </c>
      <c r="E137" s="6" t="str">
        <f aca="false">IFERROR(ROUND(SQRT((VLOOKUP(A137,Zones!$B$2:$E$35,2,FALSE())-VLOOKUP(B137,Zones!$B$2:$E$35,2,FALSE()))^2+(VLOOKUP(A137,Zones!$B$2:$E$35,3,FALSE())-VLOOKUP(B137,Zones!$B$2:$E$35,3,FALSE()))^2+(VLOOKUP(A137,Zones!$B$2:$E$35,4,FALSE())-VLOOKUP(B137,Zones!$B$2:$E$35,4,FALSE()))^2),2),"")</f>
        <v/>
      </c>
      <c r="F137" s="6" t="str">
        <f aca="false">IFERROR(VLOOKUP(A137,Zones!$B$2:$E$35,4,FALSE()),"")</f>
        <v/>
      </c>
      <c r="G137" s="6" t="str">
        <f aca="false">IFERROR(VLOOKUP(B137,Zones!$B$2:$E$35,4,FALSE()),"")</f>
        <v/>
      </c>
      <c r="H137" s="6" t="str">
        <f aca="false">IFERROR(G137-F137,"")</f>
        <v/>
      </c>
      <c r="I137" s="2"/>
    </row>
    <row r="138" customFormat="false" ht="13.8" hidden="false" customHeight="false" outlineLevel="0" collapsed="false">
      <c r="A138" s="3"/>
      <c r="B138" s="3"/>
      <c r="C138" s="3" t="s">
        <v>3</v>
      </c>
      <c r="D138" s="3" t="s">
        <v>3</v>
      </c>
      <c r="E138" s="6" t="str">
        <f aca="false">IFERROR(ROUND(SQRT((VLOOKUP(A138,Zones!$B$2:$E$35,2,FALSE())-VLOOKUP(B138,Zones!$B$2:$E$35,2,FALSE()))^2+(VLOOKUP(A138,Zones!$B$2:$E$35,3,FALSE())-VLOOKUP(B138,Zones!$B$2:$E$35,3,FALSE()))^2+(VLOOKUP(A138,Zones!$B$2:$E$35,4,FALSE())-VLOOKUP(B138,Zones!$B$2:$E$35,4,FALSE()))^2),2),"")</f>
        <v/>
      </c>
      <c r="F138" s="6" t="str">
        <f aca="false">IFERROR(VLOOKUP(A138,Zones!$B$2:$E$35,4,FALSE()),"")</f>
        <v/>
      </c>
      <c r="G138" s="6" t="str">
        <f aca="false">IFERROR(VLOOKUP(B138,Zones!$B$2:$E$35,4,FALSE()),"")</f>
        <v/>
      </c>
      <c r="H138" s="6" t="str">
        <f aca="false">IFERROR(G138-F138,"")</f>
        <v/>
      </c>
      <c r="I138" s="2"/>
    </row>
    <row r="139" customFormat="false" ht="13.8" hidden="false" customHeight="false" outlineLevel="0" collapsed="false">
      <c r="A139" s="3"/>
      <c r="B139" s="3"/>
      <c r="C139" s="3" t="s">
        <v>3</v>
      </c>
      <c r="D139" s="3" t="s">
        <v>3</v>
      </c>
      <c r="E139" s="6" t="str">
        <f aca="false">IFERROR(ROUND(SQRT((VLOOKUP(A139,Zones!$B$2:$E$35,2,FALSE())-VLOOKUP(B139,Zones!$B$2:$E$35,2,FALSE()))^2+(VLOOKUP(A139,Zones!$B$2:$E$35,3,FALSE())-VLOOKUP(B139,Zones!$B$2:$E$35,3,FALSE()))^2+(VLOOKUP(A139,Zones!$B$2:$E$35,4,FALSE())-VLOOKUP(B139,Zones!$B$2:$E$35,4,FALSE()))^2),2),"")</f>
        <v/>
      </c>
      <c r="F139" s="6" t="str">
        <f aca="false">IFERROR(VLOOKUP(A139,Zones!$B$2:$E$35,4,FALSE()),"")</f>
        <v/>
      </c>
      <c r="G139" s="6" t="str">
        <f aca="false">IFERROR(VLOOKUP(B139,Zones!$B$2:$E$35,4,FALSE()),"")</f>
        <v/>
      </c>
      <c r="H139" s="6" t="str">
        <f aca="false">IFERROR(G139-F139,"")</f>
        <v/>
      </c>
      <c r="I139" s="2"/>
    </row>
    <row r="140" customFormat="false" ht="13.8" hidden="false" customHeight="false" outlineLevel="0" collapsed="false">
      <c r="A140" s="3"/>
      <c r="B140" s="3"/>
      <c r="C140" s="3" t="s">
        <v>3</v>
      </c>
      <c r="D140" s="3" t="s">
        <v>3</v>
      </c>
      <c r="E140" s="6" t="str">
        <f aca="false">IFERROR(ROUND(SQRT((VLOOKUP(A140,Zones!$B$2:$E$35,2,FALSE())-VLOOKUP(B140,Zones!$B$2:$E$35,2,FALSE()))^2+(VLOOKUP(A140,Zones!$B$2:$E$35,3,FALSE())-VLOOKUP(B140,Zones!$B$2:$E$35,3,FALSE()))^2+(VLOOKUP(A140,Zones!$B$2:$E$35,4,FALSE())-VLOOKUP(B140,Zones!$B$2:$E$35,4,FALSE()))^2),2),"")</f>
        <v/>
      </c>
      <c r="F140" s="6" t="str">
        <f aca="false">IFERROR(VLOOKUP(A140,Zones!$B$2:$E$35,4,FALSE()),"")</f>
        <v/>
      </c>
      <c r="G140" s="6" t="str">
        <f aca="false">IFERROR(VLOOKUP(B140,Zones!$B$2:$E$35,4,FALSE()),"")</f>
        <v/>
      </c>
      <c r="H140" s="6" t="str">
        <f aca="false">IFERROR(G140-F140,"")</f>
        <v/>
      </c>
      <c r="I140" s="2"/>
    </row>
    <row r="141" customFormat="false" ht="13.8" hidden="false" customHeight="false" outlineLevel="0" collapsed="false">
      <c r="A141" s="3"/>
      <c r="B141" s="3"/>
      <c r="C141" s="3" t="s">
        <v>3</v>
      </c>
      <c r="D141" s="3" t="s">
        <v>3</v>
      </c>
      <c r="E141" s="6" t="str">
        <f aca="false">IFERROR(ROUND(SQRT((VLOOKUP(A141,Zones!$B$2:$E$35,2,FALSE())-VLOOKUP(B141,Zones!$B$2:$E$35,2,FALSE()))^2+(VLOOKUP(A141,Zones!$B$2:$E$35,3,FALSE())-VLOOKUP(B141,Zones!$B$2:$E$35,3,FALSE()))^2+(VLOOKUP(A141,Zones!$B$2:$E$35,4,FALSE())-VLOOKUP(B141,Zones!$B$2:$E$35,4,FALSE()))^2),2),"")</f>
        <v/>
      </c>
      <c r="F141" s="6" t="str">
        <f aca="false">IFERROR(VLOOKUP(A141,Zones!$B$2:$E$35,4,FALSE()),"")</f>
        <v/>
      </c>
      <c r="G141" s="6" t="str">
        <f aca="false">IFERROR(VLOOKUP(B141,Zones!$B$2:$E$35,4,FALSE()),"")</f>
        <v/>
      </c>
      <c r="H141" s="6" t="str">
        <f aca="false">IFERROR(G141-F141,"")</f>
        <v/>
      </c>
      <c r="I141" s="2"/>
    </row>
    <row r="142" customFormat="false" ht="13.8" hidden="false" customHeight="false" outlineLevel="0" collapsed="false">
      <c r="A142" s="3"/>
      <c r="B142" s="3"/>
      <c r="C142" s="3" t="s">
        <v>3</v>
      </c>
      <c r="D142" s="3" t="s">
        <v>3</v>
      </c>
      <c r="E142" s="6" t="str">
        <f aca="false">IFERROR(ROUND(SQRT((VLOOKUP(A142,Zones!$B$2:$E$35,2,FALSE())-VLOOKUP(B142,Zones!$B$2:$E$35,2,FALSE()))^2+(VLOOKUP(A142,Zones!$B$2:$E$35,3,FALSE())-VLOOKUP(B142,Zones!$B$2:$E$35,3,FALSE()))^2+(VLOOKUP(A142,Zones!$B$2:$E$35,4,FALSE())-VLOOKUP(B142,Zones!$B$2:$E$35,4,FALSE()))^2),2),"")</f>
        <v/>
      </c>
      <c r="F142" s="6" t="str">
        <f aca="false">IFERROR(VLOOKUP(A142,Zones!$B$2:$E$35,4,FALSE()),"")</f>
        <v/>
      </c>
      <c r="G142" s="6" t="str">
        <f aca="false">IFERROR(VLOOKUP(B142,Zones!$B$2:$E$35,4,FALSE()),"")</f>
        <v/>
      </c>
      <c r="H142" s="6" t="str">
        <f aca="false">IFERROR(G142-F142,"")</f>
        <v/>
      </c>
      <c r="I142" s="2"/>
    </row>
    <row r="143" customFormat="false" ht="13.8" hidden="false" customHeight="false" outlineLevel="0" collapsed="false">
      <c r="A143" s="3"/>
      <c r="B143" s="3"/>
      <c r="C143" s="3" t="s">
        <v>3</v>
      </c>
      <c r="D143" s="3" t="s">
        <v>3</v>
      </c>
      <c r="E143" s="6" t="str">
        <f aca="false">IFERROR(ROUND(SQRT((VLOOKUP(A143,Zones!$B$2:$E$35,2,FALSE())-VLOOKUP(B143,Zones!$B$2:$E$35,2,FALSE()))^2+(VLOOKUP(A143,Zones!$B$2:$E$35,3,FALSE())-VLOOKUP(B143,Zones!$B$2:$E$35,3,FALSE()))^2+(VLOOKUP(A143,Zones!$B$2:$E$35,4,FALSE())-VLOOKUP(B143,Zones!$B$2:$E$35,4,FALSE()))^2),2),"")</f>
        <v/>
      </c>
      <c r="F143" s="6" t="str">
        <f aca="false">IFERROR(VLOOKUP(A143,Zones!$B$2:$E$35,4,FALSE()),"")</f>
        <v/>
      </c>
      <c r="G143" s="6" t="str">
        <f aca="false">IFERROR(VLOOKUP(B143,Zones!$B$2:$E$35,4,FALSE()),"")</f>
        <v/>
      </c>
      <c r="H143" s="6" t="str">
        <f aca="false">IFERROR(G143-F143,"")</f>
        <v/>
      </c>
      <c r="I143" s="2"/>
    </row>
    <row r="144" customFormat="false" ht="13.8" hidden="false" customHeight="false" outlineLevel="0" collapsed="false">
      <c r="A144" s="3"/>
      <c r="B144" s="3"/>
      <c r="C144" s="3" t="s">
        <v>3</v>
      </c>
      <c r="D144" s="3" t="s">
        <v>3</v>
      </c>
      <c r="E144" s="6" t="str">
        <f aca="false">IFERROR(ROUND(SQRT((VLOOKUP(A144,Zones!$B$2:$E$35,2,FALSE())-VLOOKUP(B144,Zones!$B$2:$E$35,2,FALSE()))^2+(VLOOKUP(A144,Zones!$B$2:$E$35,3,FALSE())-VLOOKUP(B144,Zones!$B$2:$E$35,3,FALSE()))^2+(VLOOKUP(A144,Zones!$B$2:$E$35,4,FALSE())-VLOOKUP(B144,Zones!$B$2:$E$35,4,FALSE()))^2),2),"")</f>
        <v/>
      </c>
      <c r="F144" s="6" t="str">
        <f aca="false">IFERROR(VLOOKUP(A144,Zones!$B$2:$E$35,4,FALSE()),"")</f>
        <v/>
      </c>
      <c r="G144" s="6" t="str">
        <f aca="false">IFERROR(VLOOKUP(B144,Zones!$B$2:$E$35,4,FALSE()),"")</f>
        <v/>
      </c>
      <c r="H144" s="6" t="str">
        <f aca="false">IFERROR(G144-F144,"")</f>
        <v/>
      </c>
      <c r="I144" s="2"/>
    </row>
    <row r="145" customFormat="false" ht="13.8" hidden="false" customHeight="false" outlineLevel="0" collapsed="false">
      <c r="A145" s="3"/>
      <c r="B145" s="3"/>
      <c r="C145" s="3" t="s">
        <v>3</v>
      </c>
      <c r="D145" s="3" t="s">
        <v>3</v>
      </c>
      <c r="E145" s="6" t="str">
        <f aca="false">IFERROR(ROUND(SQRT((VLOOKUP(A145,Zones!$B$2:$E$35,2,FALSE())-VLOOKUP(B145,Zones!$B$2:$E$35,2,FALSE()))^2+(VLOOKUP(A145,Zones!$B$2:$E$35,3,FALSE())-VLOOKUP(B145,Zones!$B$2:$E$35,3,FALSE()))^2+(VLOOKUP(A145,Zones!$B$2:$E$35,4,FALSE())-VLOOKUP(B145,Zones!$B$2:$E$35,4,FALSE()))^2),2),"")</f>
        <v/>
      </c>
      <c r="F145" s="6" t="str">
        <f aca="false">IFERROR(VLOOKUP(A145,Zones!$B$2:$E$35,4,FALSE()),"")</f>
        <v/>
      </c>
      <c r="G145" s="6" t="str">
        <f aca="false">IFERROR(VLOOKUP(B145,Zones!$B$2:$E$35,4,FALSE()),"")</f>
        <v/>
      </c>
      <c r="H145" s="6" t="str">
        <f aca="false">IFERROR(G145-F145,"")</f>
        <v/>
      </c>
      <c r="I145" s="2"/>
    </row>
    <row r="146" customFormat="false" ht="13.8" hidden="false" customHeight="false" outlineLevel="0" collapsed="false">
      <c r="A146" s="3"/>
      <c r="B146" s="3"/>
      <c r="C146" s="3" t="s">
        <v>3</v>
      </c>
      <c r="D146" s="3" t="s">
        <v>3</v>
      </c>
      <c r="E146" s="6" t="str">
        <f aca="false">IFERROR(ROUND(SQRT((VLOOKUP(A146,Zones!$B$2:$E$35,2,FALSE())-VLOOKUP(B146,Zones!$B$2:$E$35,2,FALSE()))^2+(VLOOKUP(A146,Zones!$B$2:$E$35,3,FALSE())-VLOOKUP(B146,Zones!$B$2:$E$35,3,FALSE()))^2+(VLOOKUP(A146,Zones!$B$2:$E$35,4,FALSE())-VLOOKUP(B146,Zones!$B$2:$E$35,4,FALSE()))^2),2),"")</f>
        <v/>
      </c>
      <c r="F146" s="6" t="str">
        <f aca="false">IFERROR(VLOOKUP(A146,Zones!$B$2:$E$35,4,FALSE()),"")</f>
        <v/>
      </c>
      <c r="G146" s="6" t="str">
        <f aca="false">IFERROR(VLOOKUP(B146,Zones!$B$2:$E$35,4,FALSE()),"")</f>
        <v/>
      </c>
      <c r="H146" s="6" t="str">
        <f aca="false">IFERROR(G146-F146,"")</f>
        <v/>
      </c>
      <c r="I146" s="2"/>
    </row>
    <row r="147" customFormat="false" ht="13.8" hidden="false" customHeight="false" outlineLevel="0" collapsed="false">
      <c r="A147" s="3"/>
      <c r="B147" s="3"/>
      <c r="C147" s="3" t="s">
        <v>3</v>
      </c>
      <c r="D147" s="3" t="s">
        <v>3</v>
      </c>
      <c r="E147" s="6" t="str">
        <f aca="false">IFERROR(ROUND(SQRT((VLOOKUP(A147,Zones!$B$2:$E$35,2,FALSE())-VLOOKUP(B147,Zones!$B$2:$E$35,2,FALSE()))^2+(VLOOKUP(A147,Zones!$B$2:$E$35,3,FALSE())-VLOOKUP(B147,Zones!$B$2:$E$35,3,FALSE()))^2+(VLOOKUP(A147,Zones!$B$2:$E$35,4,FALSE())-VLOOKUP(B147,Zones!$B$2:$E$35,4,FALSE()))^2),2),"")</f>
        <v/>
      </c>
      <c r="F147" s="6" t="str">
        <f aca="false">IFERROR(VLOOKUP(A147,Zones!$B$2:$E$35,4,FALSE()),"")</f>
        <v/>
      </c>
      <c r="G147" s="6" t="str">
        <f aca="false">IFERROR(VLOOKUP(B147,Zones!$B$2:$E$35,4,FALSE()),"")</f>
        <v/>
      </c>
      <c r="H147" s="6" t="str">
        <f aca="false">IFERROR(G147-F147,"")</f>
        <v/>
      </c>
      <c r="I147" s="2"/>
    </row>
    <row r="148" customFormat="false" ht="13.8" hidden="false" customHeight="false" outlineLevel="0" collapsed="false">
      <c r="A148" s="3"/>
      <c r="B148" s="3"/>
      <c r="C148" s="3" t="s">
        <v>3</v>
      </c>
      <c r="D148" s="3" t="s">
        <v>3</v>
      </c>
      <c r="E148" s="6" t="str">
        <f aca="false">IFERROR(ROUND(SQRT((VLOOKUP(A148,Zones!$B$2:$E$35,2,FALSE())-VLOOKUP(B148,Zones!$B$2:$E$35,2,FALSE()))^2+(VLOOKUP(A148,Zones!$B$2:$E$35,3,FALSE())-VLOOKUP(B148,Zones!$B$2:$E$35,3,FALSE()))^2+(VLOOKUP(A148,Zones!$B$2:$E$35,4,FALSE())-VLOOKUP(B148,Zones!$B$2:$E$35,4,FALSE()))^2),2),"")</f>
        <v/>
      </c>
      <c r="F148" s="6" t="str">
        <f aca="false">IFERROR(VLOOKUP(A148,Zones!$B$2:$E$35,4,FALSE()),"")</f>
        <v/>
      </c>
      <c r="G148" s="6" t="str">
        <f aca="false">IFERROR(VLOOKUP(B148,Zones!$B$2:$E$35,4,FALSE()),"")</f>
        <v/>
      </c>
      <c r="H148" s="6" t="str">
        <f aca="false">IFERROR(G148-F148,"")</f>
        <v/>
      </c>
      <c r="I148" s="2"/>
    </row>
    <row r="149" customFormat="false" ht="13.8" hidden="false" customHeight="false" outlineLevel="0" collapsed="false">
      <c r="A149" s="3"/>
      <c r="B149" s="3"/>
      <c r="C149" s="3" t="s">
        <v>3</v>
      </c>
      <c r="D149" s="3" t="s">
        <v>3</v>
      </c>
      <c r="E149" s="6" t="str">
        <f aca="false">IFERROR(ROUND(SQRT((VLOOKUP(A149,Zones!$B$2:$E$35,2,FALSE())-VLOOKUP(B149,Zones!$B$2:$E$35,2,FALSE()))^2+(VLOOKUP(A149,Zones!$B$2:$E$35,3,FALSE())-VLOOKUP(B149,Zones!$B$2:$E$35,3,FALSE()))^2+(VLOOKUP(A149,Zones!$B$2:$E$35,4,FALSE())-VLOOKUP(B149,Zones!$B$2:$E$35,4,FALSE()))^2),2),"")</f>
        <v/>
      </c>
      <c r="F149" s="6" t="str">
        <f aca="false">IFERROR(VLOOKUP(A149,Zones!$B$2:$E$35,4,FALSE()),"")</f>
        <v/>
      </c>
      <c r="G149" s="6" t="str">
        <f aca="false">IFERROR(VLOOKUP(B149,Zones!$B$2:$E$35,4,FALSE()),"")</f>
        <v/>
      </c>
      <c r="H149" s="6" t="str">
        <f aca="false">IFERROR(G149-F149,"")</f>
        <v/>
      </c>
      <c r="I149" s="2"/>
    </row>
    <row r="150" customFormat="false" ht="13.8" hidden="false" customHeight="false" outlineLevel="0" collapsed="false">
      <c r="A150" s="3"/>
      <c r="B150" s="3"/>
      <c r="C150" s="3" t="s">
        <v>3</v>
      </c>
      <c r="D150" s="3" t="s">
        <v>3</v>
      </c>
      <c r="E150" s="6" t="str">
        <f aca="false">IFERROR(ROUND(SQRT((VLOOKUP(A150,Zones!$B$2:$E$35,2,FALSE())-VLOOKUP(B150,Zones!$B$2:$E$35,2,FALSE()))^2+(VLOOKUP(A150,Zones!$B$2:$E$35,3,FALSE())-VLOOKUP(B150,Zones!$B$2:$E$35,3,FALSE()))^2+(VLOOKUP(A150,Zones!$B$2:$E$35,4,FALSE())-VLOOKUP(B150,Zones!$B$2:$E$35,4,FALSE()))^2),2),"")</f>
        <v/>
      </c>
      <c r="F150" s="6" t="str">
        <f aca="false">IFERROR(VLOOKUP(A150,Zones!$B$2:$E$35,4,FALSE()),"")</f>
        <v/>
      </c>
      <c r="G150" s="6" t="str">
        <f aca="false">IFERROR(VLOOKUP(B150,Zones!$B$2:$E$35,4,FALSE()),"")</f>
        <v/>
      </c>
      <c r="H150" s="6" t="str">
        <f aca="false">IFERROR(G150-F150,"")</f>
        <v/>
      </c>
      <c r="I150" s="2"/>
    </row>
    <row r="151" customFormat="false" ht="13.8" hidden="false" customHeight="false" outlineLevel="0" collapsed="false">
      <c r="A151" s="3"/>
      <c r="B151" s="3"/>
      <c r="C151" s="3" t="s">
        <v>3</v>
      </c>
      <c r="D151" s="3" t="s">
        <v>3</v>
      </c>
      <c r="E151" s="6" t="str">
        <f aca="false">IFERROR(ROUND(SQRT((VLOOKUP(A151,Zones!$B$2:$E$35,2,FALSE())-VLOOKUP(B151,Zones!$B$2:$E$35,2,FALSE()))^2+(VLOOKUP(A151,Zones!$B$2:$E$35,3,FALSE())-VLOOKUP(B151,Zones!$B$2:$E$35,3,FALSE()))^2+(VLOOKUP(A151,Zones!$B$2:$E$35,4,FALSE())-VLOOKUP(B151,Zones!$B$2:$E$35,4,FALSE()))^2),2),"")</f>
        <v/>
      </c>
      <c r="F151" s="6" t="str">
        <f aca="false">IFERROR(VLOOKUP(A151,Zones!$B$2:$E$35,4,FALSE()),"")</f>
        <v/>
      </c>
      <c r="G151" s="6" t="str">
        <f aca="false">IFERROR(VLOOKUP(B151,Zones!$B$2:$E$35,4,FALSE()),"")</f>
        <v/>
      </c>
      <c r="H151" s="6" t="str">
        <f aca="false">IFERROR(G151-F151,"")</f>
        <v/>
      </c>
      <c r="I151" s="2"/>
    </row>
    <row r="152" customFormat="false" ht="13.8" hidden="false" customHeight="false" outlineLevel="0" collapsed="false">
      <c r="A152" s="3"/>
      <c r="B152" s="3"/>
      <c r="C152" s="3" t="s">
        <v>3</v>
      </c>
      <c r="D152" s="3" t="s">
        <v>3</v>
      </c>
      <c r="E152" s="6" t="str">
        <f aca="false">IFERROR(ROUND(SQRT((VLOOKUP(A152,Zones!$B$2:$E$35,2,FALSE())-VLOOKUP(B152,Zones!$B$2:$E$35,2,FALSE()))^2+(VLOOKUP(A152,Zones!$B$2:$E$35,3,FALSE())-VLOOKUP(B152,Zones!$B$2:$E$35,3,FALSE()))^2+(VLOOKUP(A152,Zones!$B$2:$E$35,4,FALSE())-VLOOKUP(B152,Zones!$B$2:$E$35,4,FALSE()))^2),2),"")</f>
        <v/>
      </c>
      <c r="F152" s="6" t="str">
        <f aca="false">IFERROR(VLOOKUP(A152,Zones!$B$2:$E$35,4,FALSE()),"")</f>
        <v/>
      </c>
      <c r="G152" s="6" t="str">
        <f aca="false">IFERROR(VLOOKUP(B152,Zones!$B$2:$E$35,4,FALSE()),"")</f>
        <v/>
      </c>
      <c r="H152" s="6" t="str">
        <f aca="false">IFERROR(G152-F152,"")</f>
        <v/>
      </c>
      <c r="I152" s="2"/>
    </row>
    <row r="153" customFormat="false" ht="13.8" hidden="false" customHeight="false" outlineLevel="0" collapsed="false">
      <c r="A153" s="3"/>
      <c r="B153" s="3"/>
      <c r="C153" s="3" t="s">
        <v>3</v>
      </c>
      <c r="D153" s="3" t="s">
        <v>3</v>
      </c>
      <c r="E153" s="6" t="str">
        <f aca="false">IFERROR(ROUND(SQRT((VLOOKUP(A153,Zones!$B$2:$E$35,2,FALSE())-VLOOKUP(B153,Zones!$B$2:$E$35,2,FALSE()))^2+(VLOOKUP(A153,Zones!$B$2:$E$35,3,FALSE())-VLOOKUP(B153,Zones!$B$2:$E$35,3,FALSE()))^2+(VLOOKUP(A153,Zones!$B$2:$E$35,4,FALSE())-VLOOKUP(B153,Zones!$B$2:$E$35,4,FALSE()))^2),2),"")</f>
        <v/>
      </c>
      <c r="F153" s="6" t="str">
        <f aca="false">IFERROR(VLOOKUP(A153,Zones!$B$2:$E$35,4,FALSE()),"")</f>
        <v/>
      </c>
      <c r="G153" s="6" t="str">
        <f aca="false">IFERROR(VLOOKUP(B153,Zones!$B$2:$E$35,4,FALSE()),"")</f>
        <v/>
      </c>
      <c r="H153" s="6" t="str">
        <f aca="false">IFERROR(G153-F153,"")</f>
        <v/>
      </c>
      <c r="I153" s="2"/>
    </row>
    <row r="154" customFormat="false" ht="13.8" hidden="false" customHeight="false" outlineLevel="0" collapsed="false">
      <c r="A154" s="3"/>
      <c r="B154" s="3"/>
      <c r="C154" s="3" t="s">
        <v>3</v>
      </c>
      <c r="D154" s="3" t="s">
        <v>3</v>
      </c>
      <c r="E154" s="6" t="str">
        <f aca="false">IFERROR(ROUND(SQRT((VLOOKUP(A154,Zones!$B$2:$E$35,2,FALSE())-VLOOKUP(B154,Zones!$B$2:$E$35,2,FALSE()))^2+(VLOOKUP(A154,Zones!$B$2:$E$35,3,FALSE())-VLOOKUP(B154,Zones!$B$2:$E$35,3,FALSE()))^2+(VLOOKUP(A154,Zones!$B$2:$E$35,4,FALSE())-VLOOKUP(B154,Zones!$B$2:$E$35,4,FALSE()))^2),2),"")</f>
        <v/>
      </c>
      <c r="F154" s="6" t="str">
        <f aca="false">IFERROR(VLOOKUP(A154,Zones!$B$2:$E$35,4,FALSE()),"")</f>
        <v/>
      </c>
      <c r="G154" s="6" t="str">
        <f aca="false">IFERROR(VLOOKUP(B154,Zones!$B$2:$E$35,4,FALSE()),"")</f>
        <v/>
      </c>
      <c r="H154" s="6" t="str">
        <f aca="false">IFERROR(G154-F154,"")</f>
        <v/>
      </c>
      <c r="I154" s="2"/>
    </row>
    <row r="155" customFormat="false" ht="13.8" hidden="false" customHeight="false" outlineLevel="0" collapsed="false">
      <c r="A155" s="3"/>
      <c r="B155" s="3"/>
      <c r="C155" s="3" t="s">
        <v>3</v>
      </c>
      <c r="D155" s="3" t="s">
        <v>3</v>
      </c>
      <c r="E155" s="6" t="str">
        <f aca="false">IFERROR(ROUND(SQRT((VLOOKUP(A155,Zones!$B$2:$E$35,2,FALSE())-VLOOKUP(B155,Zones!$B$2:$E$35,2,FALSE()))^2+(VLOOKUP(A155,Zones!$B$2:$E$35,3,FALSE())-VLOOKUP(B155,Zones!$B$2:$E$35,3,FALSE()))^2+(VLOOKUP(A155,Zones!$B$2:$E$35,4,FALSE())-VLOOKUP(B155,Zones!$B$2:$E$35,4,FALSE()))^2),2),"")</f>
        <v/>
      </c>
      <c r="F155" s="6" t="str">
        <f aca="false">IFERROR(VLOOKUP(A155,Zones!$B$2:$E$35,4,FALSE()),"")</f>
        <v/>
      </c>
      <c r="G155" s="6" t="str">
        <f aca="false">IFERROR(VLOOKUP(B155,Zones!$B$2:$E$35,4,FALSE()),"")</f>
        <v/>
      </c>
      <c r="H155" s="6" t="str">
        <f aca="false">IFERROR(G155-F155,"")</f>
        <v/>
      </c>
      <c r="I155" s="2"/>
    </row>
    <row r="156" customFormat="false" ht="13.8" hidden="false" customHeight="false" outlineLevel="0" collapsed="false">
      <c r="A156" s="3"/>
      <c r="B156" s="3"/>
      <c r="C156" s="3" t="s">
        <v>3</v>
      </c>
      <c r="D156" s="3" t="s">
        <v>3</v>
      </c>
      <c r="E156" s="6" t="str">
        <f aca="false">IFERROR(ROUND(SQRT((VLOOKUP(A156,Zones!$B$2:$E$35,2,FALSE())-VLOOKUP(B156,Zones!$B$2:$E$35,2,FALSE()))^2+(VLOOKUP(A156,Zones!$B$2:$E$35,3,FALSE())-VLOOKUP(B156,Zones!$B$2:$E$35,3,FALSE()))^2+(VLOOKUP(A156,Zones!$B$2:$E$35,4,FALSE())-VLOOKUP(B156,Zones!$B$2:$E$35,4,FALSE()))^2),2),"")</f>
        <v/>
      </c>
      <c r="F156" s="6" t="str">
        <f aca="false">IFERROR(VLOOKUP(A156,Zones!$B$2:$E$35,4,FALSE()),"")</f>
        <v/>
      </c>
      <c r="G156" s="6" t="str">
        <f aca="false">IFERROR(VLOOKUP(B156,Zones!$B$2:$E$35,4,FALSE()),"")</f>
        <v/>
      </c>
      <c r="H156" s="6" t="str">
        <f aca="false">IFERROR(G156-F156,"")</f>
        <v/>
      </c>
      <c r="I156" s="2"/>
    </row>
    <row r="157" customFormat="false" ht="13.8" hidden="false" customHeight="false" outlineLevel="0" collapsed="false">
      <c r="A157" s="3"/>
      <c r="B157" s="3"/>
      <c r="C157" s="3" t="s">
        <v>3</v>
      </c>
      <c r="D157" s="3" t="s">
        <v>3</v>
      </c>
      <c r="E157" s="6" t="str">
        <f aca="false">IFERROR(ROUND(SQRT((VLOOKUP(A157,Zones!$B$2:$E$35,2,FALSE())-VLOOKUP(B157,Zones!$B$2:$E$35,2,FALSE()))^2+(VLOOKUP(A157,Zones!$B$2:$E$35,3,FALSE())-VLOOKUP(B157,Zones!$B$2:$E$35,3,FALSE()))^2+(VLOOKUP(A157,Zones!$B$2:$E$35,4,FALSE())-VLOOKUP(B157,Zones!$B$2:$E$35,4,FALSE()))^2),2),"")</f>
        <v/>
      </c>
      <c r="F157" s="6" t="str">
        <f aca="false">IFERROR(VLOOKUP(A157,Zones!$B$2:$E$35,4,FALSE()),"")</f>
        <v/>
      </c>
      <c r="G157" s="6" t="str">
        <f aca="false">IFERROR(VLOOKUP(B157,Zones!$B$2:$E$35,4,FALSE()),"")</f>
        <v/>
      </c>
      <c r="H157" s="6" t="str">
        <f aca="false">IFERROR(G157-F157,"")</f>
        <v/>
      </c>
      <c r="I157" s="2"/>
    </row>
    <row r="158" customFormat="false" ht="13.8" hidden="false" customHeight="false" outlineLevel="0" collapsed="false">
      <c r="A158" s="3"/>
      <c r="B158" s="3"/>
      <c r="C158" s="3" t="s">
        <v>3</v>
      </c>
      <c r="D158" s="3" t="s">
        <v>3</v>
      </c>
      <c r="E158" s="6" t="str">
        <f aca="false">IFERROR(ROUND(SQRT((VLOOKUP(A158,Zones!$B$2:$E$35,2,FALSE())-VLOOKUP(B158,Zones!$B$2:$E$35,2,FALSE()))^2+(VLOOKUP(A158,Zones!$B$2:$E$35,3,FALSE())-VLOOKUP(B158,Zones!$B$2:$E$35,3,FALSE()))^2+(VLOOKUP(A158,Zones!$B$2:$E$35,4,FALSE())-VLOOKUP(B158,Zones!$B$2:$E$35,4,FALSE()))^2),2),"")</f>
        <v/>
      </c>
      <c r="F158" s="6" t="str">
        <f aca="false">IFERROR(VLOOKUP(A158,Zones!$B$2:$E$35,4,FALSE()),"")</f>
        <v/>
      </c>
      <c r="G158" s="6" t="str">
        <f aca="false">IFERROR(VLOOKUP(B158,Zones!$B$2:$E$35,4,FALSE()),"")</f>
        <v/>
      </c>
      <c r="H158" s="6" t="str">
        <f aca="false">IFERROR(G158-F158,"")</f>
        <v/>
      </c>
      <c r="I158" s="2"/>
    </row>
    <row r="159" customFormat="false" ht="13.8" hidden="false" customHeight="false" outlineLevel="0" collapsed="false">
      <c r="A159" s="3"/>
      <c r="B159" s="3"/>
      <c r="C159" s="3" t="s">
        <v>3</v>
      </c>
      <c r="D159" s="3" t="s">
        <v>3</v>
      </c>
      <c r="E159" s="6" t="str">
        <f aca="false">IFERROR(ROUND(SQRT((VLOOKUP(A159,Zones!$B$2:$E$35,2,FALSE())-VLOOKUP(B159,Zones!$B$2:$E$35,2,FALSE()))^2+(VLOOKUP(A159,Zones!$B$2:$E$35,3,FALSE())-VLOOKUP(B159,Zones!$B$2:$E$35,3,FALSE()))^2+(VLOOKUP(A159,Zones!$B$2:$E$35,4,FALSE())-VLOOKUP(B159,Zones!$B$2:$E$35,4,FALSE()))^2),2),"")</f>
        <v/>
      </c>
      <c r="F159" s="6" t="str">
        <f aca="false">IFERROR(VLOOKUP(A159,Zones!$B$2:$E$35,4,FALSE()),"")</f>
        <v/>
      </c>
      <c r="G159" s="6" t="str">
        <f aca="false">IFERROR(VLOOKUP(B159,Zones!$B$2:$E$35,4,FALSE()),"")</f>
        <v/>
      </c>
      <c r="H159" s="6" t="str">
        <f aca="false">IFERROR(G159-F159,"")</f>
        <v/>
      </c>
      <c r="I159" s="2"/>
    </row>
    <row r="160" customFormat="false" ht="13.8" hidden="false" customHeight="false" outlineLevel="0" collapsed="false">
      <c r="A160" s="3"/>
      <c r="B160" s="3"/>
      <c r="C160" s="3" t="s">
        <v>3</v>
      </c>
      <c r="D160" s="3" t="s">
        <v>3</v>
      </c>
      <c r="E160" s="6" t="str">
        <f aca="false">IFERROR(ROUND(SQRT((VLOOKUP(A160,Zones!$B$2:$E$35,2,FALSE())-VLOOKUP(B160,Zones!$B$2:$E$35,2,FALSE()))^2+(VLOOKUP(A160,Zones!$B$2:$E$35,3,FALSE())-VLOOKUP(B160,Zones!$B$2:$E$35,3,FALSE()))^2+(VLOOKUP(A160,Zones!$B$2:$E$35,4,FALSE())-VLOOKUP(B160,Zones!$B$2:$E$35,4,FALSE()))^2),2),"")</f>
        <v/>
      </c>
      <c r="F160" s="6" t="str">
        <f aca="false">IFERROR(VLOOKUP(A160,Zones!$B$2:$E$35,4,FALSE()),"")</f>
        <v/>
      </c>
      <c r="G160" s="6" t="str">
        <f aca="false">IFERROR(VLOOKUP(B160,Zones!$B$2:$E$35,4,FALSE()),"")</f>
        <v/>
      </c>
      <c r="H160" s="6" t="str">
        <f aca="false">IFERROR(G160-F160,"")</f>
        <v/>
      </c>
      <c r="I160" s="2"/>
    </row>
    <row r="161" customFormat="false" ht="13.8" hidden="false" customHeight="false" outlineLevel="0" collapsed="false">
      <c r="A161" s="3"/>
      <c r="B161" s="3"/>
      <c r="C161" s="3" t="s">
        <v>3</v>
      </c>
      <c r="D161" s="3" t="s">
        <v>3</v>
      </c>
      <c r="E161" s="6" t="str">
        <f aca="false">IFERROR(ROUND(SQRT((VLOOKUP(A161,Zones!$B$2:$E$35,2,FALSE())-VLOOKUP(B161,Zones!$B$2:$E$35,2,FALSE()))^2+(VLOOKUP(A161,Zones!$B$2:$E$35,3,FALSE())-VLOOKUP(B161,Zones!$B$2:$E$35,3,FALSE()))^2+(VLOOKUP(A161,Zones!$B$2:$E$35,4,FALSE())-VLOOKUP(B161,Zones!$B$2:$E$35,4,FALSE()))^2),2),"")</f>
        <v/>
      </c>
      <c r="F161" s="6" t="str">
        <f aca="false">IFERROR(VLOOKUP(A161,Zones!$B$2:$E$35,4,FALSE()),"")</f>
        <v/>
      </c>
      <c r="G161" s="6" t="str">
        <f aca="false">IFERROR(VLOOKUP(B161,Zones!$B$2:$E$35,4,FALSE()),"")</f>
        <v/>
      </c>
      <c r="H161" s="6" t="str">
        <f aca="false">IFERROR(G161-F161,"")</f>
        <v/>
      </c>
      <c r="I161" s="2"/>
    </row>
    <row r="162" customFormat="false" ht="13.8" hidden="false" customHeight="false" outlineLevel="0" collapsed="false">
      <c r="A162" s="3"/>
      <c r="B162" s="3"/>
      <c r="C162" s="3" t="s">
        <v>3</v>
      </c>
      <c r="D162" s="3" t="s">
        <v>3</v>
      </c>
      <c r="E162" s="6" t="str">
        <f aca="false">IFERROR(ROUND(SQRT((VLOOKUP(A162,Zones!$B$2:$E$35,2,FALSE())-VLOOKUP(B162,Zones!$B$2:$E$35,2,FALSE()))^2+(VLOOKUP(A162,Zones!$B$2:$E$35,3,FALSE())-VLOOKUP(B162,Zones!$B$2:$E$35,3,FALSE()))^2+(VLOOKUP(A162,Zones!$B$2:$E$35,4,FALSE())-VLOOKUP(B162,Zones!$B$2:$E$35,4,FALSE()))^2),2),"")</f>
        <v/>
      </c>
      <c r="F162" s="6" t="str">
        <f aca="false">IFERROR(VLOOKUP(A162,Zones!$B$2:$E$35,4,FALSE()),"")</f>
        <v/>
      </c>
      <c r="G162" s="6" t="str">
        <f aca="false">IFERROR(VLOOKUP(B162,Zones!$B$2:$E$35,4,FALSE()),"")</f>
        <v/>
      </c>
      <c r="H162" s="6" t="str">
        <f aca="false">IFERROR(G162-F162,"")</f>
        <v/>
      </c>
      <c r="I162" s="2"/>
    </row>
    <row r="163" customFormat="false" ht="13.8" hidden="false" customHeight="false" outlineLevel="0" collapsed="false">
      <c r="A163" s="3"/>
      <c r="B163" s="3"/>
      <c r="C163" s="3" t="s">
        <v>3</v>
      </c>
      <c r="D163" s="3" t="s">
        <v>3</v>
      </c>
      <c r="E163" s="6" t="str">
        <f aca="false">IFERROR(ROUND(SQRT((VLOOKUP(A163,Zones!$B$2:$E$35,2,FALSE())-VLOOKUP(B163,Zones!$B$2:$E$35,2,FALSE()))^2+(VLOOKUP(A163,Zones!$B$2:$E$35,3,FALSE())-VLOOKUP(B163,Zones!$B$2:$E$35,3,FALSE()))^2+(VLOOKUP(A163,Zones!$B$2:$E$35,4,FALSE())-VLOOKUP(B163,Zones!$B$2:$E$35,4,FALSE()))^2),2),"")</f>
        <v/>
      </c>
      <c r="F163" s="6" t="str">
        <f aca="false">IFERROR(VLOOKUP(A163,Zones!$B$2:$E$35,4,FALSE()),"")</f>
        <v/>
      </c>
      <c r="G163" s="6" t="str">
        <f aca="false">IFERROR(VLOOKUP(B163,Zones!$B$2:$E$35,4,FALSE()),"")</f>
        <v/>
      </c>
      <c r="H163" s="6" t="str">
        <f aca="false">IFERROR(G163-F163,"")</f>
        <v/>
      </c>
      <c r="I163" s="2"/>
    </row>
    <row r="164" customFormat="false" ht="13.8" hidden="false" customHeight="false" outlineLevel="0" collapsed="false">
      <c r="A164" s="3"/>
      <c r="B164" s="3"/>
      <c r="C164" s="3" t="s">
        <v>3</v>
      </c>
      <c r="D164" s="3" t="s">
        <v>3</v>
      </c>
      <c r="E164" s="6" t="str">
        <f aca="false">IFERROR(ROUND(SQRT((VLOOKUP(A164,Zones!$B$2:$E$35,2,FALSE())-VLOOKUP(B164,Zones!$B$2:$E$35,2,FALSE()))^2+(VLOOKUP(A164,Zones!$B$2:$E$35,3,FALSE())-VLOOKUP(B164,Zones!$B$2:$E$35,3,FALSE()))^2+(VLOOKUP(A164,Zones!$B$2:$E$35,4,FALSE())-VLOOKUP(B164,Zones!$B$2:$E$35,4,FALSE()))^2),2),"")</f>
        <v/>
      </c>
      <c r="F164" s="6" t="str">
        <f aca="false">IFERROR(VLOOKUP(A164,Zones!$B$2:$E$35,4,FALSE()),"")</f>
        <v/>
      </c>
      <c r="G164" s="6" t="str">
        <f aca="false">IFERROR(VLOOKUP(B164,Zones!$B$2:$E$35,4,FALSE()),"")</f>
        <v/>
      </c>
      <c r="H164" s="6" t="str">
        <f aca="false">IFERROR(G164-F164,"")</f>
        <v/>
      </c>
      <c r="I164" s="2"/>
    </row>
    <row r="165" customFormat="false" ht="13.8" hidden="false" customHeight="false" outlineLevel="0" collapsed="false">
      <c r="A165" s="3"/>
      <c r="B165" s="3"/>
      <c r="C165" s="3" t="s">
        <v>3</v>
      </c>
      <c r="D165" s="3" t="s">
        <v>3</v>
      </c>
      <c r="E165" s="6" t="str">
        <f aca="false">IFERROR(ROUND(SQRT((VLOOKUP(A165,Zones!$B$2:$E$35,2,FALSE())-VLOOKUP(B165,Zones!$B$2:$E$35,2,FALSE()))^2+(VLOOKUP(A165,Zones!$B$2:$E$35,3,FALSE())-VLOOKUP(B165,Zones!$B$2:$E$35,3,FALSE()))^2+(VLOOKUP(A165,Zones!$B$2:$E$35,4,FALSE())-VLOOKUP(B165,Zones!$B$2:$E$35,4,FALSE()))^2),2),"")</f>
        <v/>
      </c>
      <c r="F165" s="6" t="str">
        <f aca="false">IFERROR(VLOOKUP(A165,Zones!$B$2:$E$35,4,FALSE()),"")</f>
        <v/>
      </c>
      <c r="G165" s="6" t="str">
        <f aca="false">IFERROR(VLOOKUP(B165,Zones!$B$2:$E$35,4,FALSE()),"")</f>
        <v/>
      </c>
      <c r="H165" s="6" t="str">
        <f aca="false">IFERROR(G165-F165,"")</f>
        <v/>
      </c>
      <c r="I165" s="2"/>
    </row>
    <row r="166" customFormat="false" ht="13.8" hidden="false" customHeight="false" outlineLevel="0" collapsed="false">
      <c r="A166" s="3"/>
      <c r="B166" s="3"/>
      <c r="C166" s="3" t="s">
        <v>3</v>
      </c>
      <c r="D166" s="3" t="s">
        <v>3</v>
      </c>
      <c r="E166" s="6" t="str">
        <f aca="false">IFERROR(ROUND(SQRT((VLOOKUP(A166,Zones!$B$2:$E$35,2,FALSE())-VLOOKUP(B166,Zones!$B$2:$E$35,2,FALSE()))^2+(VLOOKUP(A166,Zones!$B$2:$E$35,3,FALSE())-VLOOKUP(B166,Zones!$B$2:$E$35,3,FALSE()))^2+(VLOOKUP(A166,Zones!$B$2:$E$35,4,FALSE())-VLOOKUP(B166,Zones!$B$2:$E$35,4,FALSE()))^2),2),"")</f>
        <v/>
      </c>
      <c r="F166" s="6" t="str">
        <f aca="false">IFERROR(VLOOKUP(A166,Zones!$B$2:$E$35,4,FALSE()),"")</f>
        <v/>
      </c>
      <c r="G166" s="6" t="str">
        <f aca="false">IFERROR(VLOOKUP(B166,Zones!$B$2:$E$35,4,FALSE()),"")</f>
        <v/>
      </c>
      <c r="H166" s="6" t="str">
        <f aca="false">IFERROR(G166-F166,"")</f>
        <v/>
      </c>
      <c r="I166" s="2"/>
    </row>
    <row r="167" customFormat="false" ht="13.8" hidden="false" customHeight="false" outlineLevel="0" collapsed="false">
      <c r="A167" s="3"/>
      <c r="B167" s="3"/>
      <c r="C167" s="3" t="s">
        <v>3</v>
      </c>
      <c r="D167" s="3" t="s">
        <v>3</v>
      </c>
      <c r="E167" s="6" t="str">
        <f aca="false">IFERROR(ROUND(SQRT((VLOOKUP(A167,Zones!$B$2:$E$35,2,FALSE())-VLOOKUP(B167,Zones!$B$2:$E$35,2,FALSE()))^2+(VLOOKUP(A167,Zones!$B$2:$E$35,3,FALSE())-VLOOKUP(B167,Zones!$B$2:$E$35,3,FALSE()))^2+(VLOOKUP(A167,Zones!$B$2:$E$35,4,FALSE())-VLOOKUP(B167,Zones!$B$2:$E$35,4,FALSE()))^2),2),"")</f>
        <v/>
      </c>
      <c r="F167" s="6" t="str">
        <f aca="false">IFERROR(VLOOKUP(A167,Zones!$B$2:$E$35,4,FALSE()),"")</f>
        <v/>
      </c>
      <c r="G167" s="6" t="str">
        <f aca="false">IFERROR(VLOOKUP(B167,Zones!$B$2:$E$35,4,FALSE()),"")</f>
        <v/>
      </c>
      <c r="H167" s="6" t="str">
        <f aca="false">IFERROR(G167-F167,"")</f>
        <v/>
      </c>
      <c r="I167" s="2"/>
    </row>
    <row r="168" customFormat="false" ht="13.8" hidden="false" customHeight="false" outlineLevel="0" collapsed="false">
      <c r="A168" s="3"/>
      <c r="B168" s="3"/>
      <c r="C168" s="3" t="s">
        <v>3</v>
      </c>
      <c r="D168" s="3" t="s">
        <v>3</v>
      </c>
      <c r="E168" s="6" t="str">
        <f aca="false">IFERROR(ROUND(SQRT((VLOOKUP(A168,Zones!$B$2:$E$35,2,FALSE())-VLOOKUP(B168,Zones!$B$2:$E$35,2,FALSE()))^2+(VLOOKUP(A168,Zones!$B$2:$E$35,3,FALSE())-VLOOKUP(B168,Zones!$B$2:$E$35,3,FALSE()))^2+(VLOOKUP(A168,Zones!$B$2:$E$35,4,FALSE())-VLOOKUP(B168,Zones!$B$2:$E$35,4,FALSE()))^2),2),"")</f>
        <v/>
      </c>
      <c r="F168" s="6" t="str">
        <f aca="false">IFERROR(VLOOKUP(A168,Zones!$B$2:$E$35,4,FALSE()),"")</f>
        <v/>
      </c>
      <c r="G168" s="6" t="str">
        <f aca="false">IFERROR(VLOOKUP(B168,Zones!$B$2:$E$35,4,FALSE()),"")</f>
        <v/>
      </c>
      <c r="H168" s="6" t="str">
        <f aca="false">IFERROR(G168-F168,"")</f>
        <v/>
      </c>
      <c r="I168" s="2"/>
    </row>
    <row r="169" customFormat="false" ht="13.8" hidden="false" customHeight="false" outlineLevel="0" collapsed="false">
      <c r="A169" s="3"/>
      <c r="B169" s="3"/>
      <c r="C169" s="3" t="s">
        <v>3</v>
      </c>
      <c r="D169" s="3" t="s">
        <v>3</v>
      </c>
      <c r="E169" s="6" t="str">
        <f aca="false">IFERROR(ROUND(SQRT((VLOOKUP(A169,Zones!$B$2:$E$35,2,FALSE())-VLOOKUP(B169,Zones!$B$2:$E$35,2,FALSE()))^2+(VLOOKUP(A169,Zones!$B$2:$E$35,3,FALSE())-VLOOKUP(B169,Zones!$B$2:$E$35,3,FALSE()))^2+(VLOOKUP(A169,Zones!$B$2:$E$35,4,FALSE())-VLOOKUP(B169,Zones!$B$2:$E$35,4,FALSE()))^2),2),"")</f>
        <v/>
      </c>
      <c r="F169" s="6" t="str">
        <f aca="false">IFERROR(VLOOKUP(A169,Zones!$B$2:$E$35,4,FALSE()),"")</f>
        <v/>
      </c>
      <c r="G169" s="6" t="str">
        <f aca="false">IFERROR(VLOOKUP(B169,Zones!$B$2:$E$35,4,FALSE()),"")</f>
        <v/>
      </c>
      <c r="H169" s="6" t="str">
        <f aca="false">IFERROR(G169-F169,"")</f>
        <v/>
      </c>
      <c r="I169" s="2"/>
    </row>
    <row r="170" customFormat="false" ht="13.8" hidden="false" customHeight="false" outlineLevel="0" collapsed="false">
      <c r="A170" s="3"/>
      <c r="B170" s="3"/>
      <c r="C170" s="3" t="s">
        <v>3</v>
      </c>
      <c r="D170" s="3" t="s">
        <v>3</v>
      </c>
      <c r="E170" s="6" t="str">
        <f aca="false">IFERROR(ROUND(SQRT((VLOOKUP(A170,Zones!$B$2:$E$35,2,FALSE())-VLOOKUP(B170,Zones!$B$2:$E$35,2,FALSE()))^2+(VLOOKUP(A170,Zones!$B$2:$E$35,3,FALSE())-VLOOKUP(B170,Zones!$B$2:$E$35,3,FALSE()))^2+(VLOOKUP(A170,Zones!$B$2:$E$35,4,FALSE())-VLOOKUP(B170,Zones!$B$2:$E$35,4,FALSE()))^2),2),"")</f>
        <v/>
      </c>
      <c r="F170" s="6" t="str">
        <f aca="false">IFERROR(VLOOKUP(A170,Zones!$B$2:$E$35,4,FALSE()),"")</f>
        <v/>
      </c>
      <c r="G170" s="6" t="str">
        <f aca="false">IFERROR(VLOOKUP(B170,Zones!$B$2:$E$35,4,FALSE()),"")</f>
        <v/>
      </c>
      <c r="H170" s="6" t="str">
        <f aca="false">IFERROR(G170-F170,"")</f>
        <v/>
      </c>
      <c r="I170" s="2"/>
    </row>
    <row r="171" customFormat="false" ht="13.8" hidden="false" customHeight="false" outlineLevel="0" collapsed="false">
      <c r="A171" s="3"/>
      <c r="B171" s="3"/>
      <c r="C171" s="3" t="s">
        <v>3</v>
      </c>
      <c r="D171" s="3" t="s">
        <v>3</v>
      </c>
      <c r="E171" s="6" t="str">
        <f aca="false">IFERROR(ROUND(SQRT((VLOOKUP(A171,Zones!$B$2:$E$35,2,FALSE())-VLOOKUP(B171,Zones!$B$2:$E$35,2,FALSE()))^2+(VLOOKUP(A171,Zones!$B$2:$E$35,3,FALSE())-VLOOKUP(B171,Zones!$B$2:$E$35,3,FALSE()))^2+(VLOOKUP(A171,Zones!$B$2:$E$35,4,FALSE())-VLOOKUP(B171,Zones!$B$2:$E$35,4,FALSE()))^2),2),"")</f>
        <v/>
      </c>
      <c r="F171" s="6" t="str">
        <f aca="false">IFERROR(VLOOKUP(A171,Zones!$B$2:$E$35,4,FALSE()),"")</f>
        <v/>
      </c>
      <c r="G171" s="6" t="str">
        <f aca="false">IFERROR(VLOOKUP(B171,Zones!$B$2:$E$35,4,FALSE()),"")</f>
        <v/>
      </c>
      <c r="H171" s="6" t="str">
        <f aca="false">IFERROR(G171-F171,"")</f>
        <v/>
      </c>
      <c r="I171" s="2"/>
    </row>
    <row r="172" customFormat="false" ht="13.8" hidden="false" customHeight="false" outlineLevel="0" collapsed="false">
      <c r="A172" s="3"/>
      <c r="B172" s="3"/>
      <c r="C172" s="3" t="s">
        <v>3</v>
      </c>
      <c r="D172" s="3" t="s">
        <v>3</v>
      </c>
      <c r="E172" s="6" t="str">
        <f aca="false">IFERROR(ROUND(SQRT((VLOOKUP(A172,Zones!$B$2:$E$35,2,FALSE())-VLOOKUP(B172,Zones!$B$2:$E$35,2,FALSE()))^2+(VLOOKUP(A172,Zones!$B$2:$E$35,3,FALSE())-VLOOKUP(B172,Zones!$B$2:$E$35,3,FALSE()))^2+(VLOOKUP(A172,Zones!$B$2:$E$35,4,FALSE())-VLOOKUP(B172,Zones!$B$2:$E$35,4,FALSE()))^2),2),"")</f>
        <v/>
      </c>
      <c r="F172" s="6" t="str">
        <f aca="false">IFERROR(VLOOKUP(A172,Zones!$B$2:$E$35,4,FALSE()),"")</f>
        <v/>
      </c>
      <c r="G172" s="6" t="str">
        <f aca="false">IFERROR(VLOOKUP(B172,Zones!$B$2:$E$35,4,FALSE()),"")</f>
        <v/>
      </c>
      <c r="H172" s="6" t="str">
        <f aca="false">IFERROR(G172-F172,"")</f>
        <v/>
      </c>
      <c r="I172" s="2"/>
    </row>
    <row r="173" customFormat="false" ht="13.8" hidden="false" customHeight="false" outlineLevel="0" collapsed="false">
      <c r="A173" s="3"/>
      <c r="B173" s="3"/>
      <c r="C173" s="3" t="s">
        <v>3</v>
      </c>
      <c r="D173" s="3" t="s">
        <v>3</v>
      </c>
      <c r="E173" s="6" t="str">
        <f aca="false">IFERROR(ROUND(SQRT((VLOOKUP(A173,Zones!$B$2:$E$35,2,FALSE())-VLOOKUP(B173,Zones!$B$2:$E$35,2,FALSE()))^2+(VLOOKUP(A173,Zones!$B$2:$E$35,3,FALSE())-VLOOKUP(B173,Zones!$B$2:$E$35,3,FALSE()))^2+(VLOOKUP(A173,Zones!$B$2:$E$35,4,FALSE())-VLOOKUP(B173,Zones!$B$2:$E$35,4,FALSE()))^2),2),"")</f>
        <v/>
      </c>
      <c r="F173" s="6" t="str">
        <f aca="false">IFERROR(VLOOKUP(A173,Zones!$B$2:$E$35,4,FALSE()),"")</f>
        <v/>
      </c>
      <c r="G173" s="6" t="str">
        <f aca="false">IFERROR(VLOOKUP(B173,Zones!$B$2:$E$35,4,FALSE()),"")</f>
        <v/>
      </c>
      <c r="H173" s="6" t="str">
        <f aca="false">IFERROR(G173-F173,"")</f>
        <v/>
      </c>
      <c r="I173" s="2"/>
    </row>
    <row r="174" customFormat="false" ht="13.8" hidden="false" customHeight="false" outlineLevel="0" collapsed="false">
      <c r="A174" s="3"/>
      <c r="B174" s="3"/>
      <c r="C174" s="3" t="s">
        <v>3</v>
      </c>
      <c r="D174" s="3" t="s">
        <v>3</v>
      </c>
      <c r="E174" s="6" t="str">
        <f aca="false">IFERROR(ROUND(SQRT((VLOOKUP(A174,Zones!$B$2:$E$35,2,FALSE())-VLOOKUP(B174,Zones!$B$2:$E$35,2,FALSE()))^2+(VLOOKUP(A174,Zones!$B$2:$E$35,3,FALSE())-VLOOKUP(B174,Zones!$B$2:$E$35,3,FALSE()))^2+(VLOOKUP(A174,Zones!$B$2:$E$35,4,FALSE())-VLOOKUP(B174,Zones!$B$2:$E$35,4,FALSE()))^2),2),"")</f>
        <v/>
      </c>
      <c r="F174" s="6" t="str">
        <f aca="false">IFERROR(VLOOKUP(A174,Zones!$B$2:$E$35,4,FALSE()),"")</f>
        <v/>
      </c>
      <c r="G174" s="6" t="str">
        <f aca="false">IFERROR(VLOOKUP(B174,Zones!$B$2:$E$35,4,FALSE()),"")</f>
        <v/>
      </c>
      <c r="H174" s="6" t="str">
        <f aca="false">IFERROR(G174-F174,"")</f>
        <v/>
      </c>
      <c r="I174" s="2"/>
    </row>
    <row r="175" customFormat="false" ht="13.8" hidden="false" customHeight="false" outlineLevel="0" collapsed="false">
      <c r="A175" s="3"/>
      <c r="B175" s="3"/>
      <c r="C175" s="3" t="s">
        <v>3</v>
      </c>
      <c r="D175" s="3" t="s">
        <v>3</v>
      </c>
      <c r="E175" s="6" t="str">
        <f aca="false">IFERROR(ROUND(SQRT((VLOOKUP(A175,Zones!$B$2:$E$35,2,FALSE())-VLOOKUP(B175,Zones!$B$2:$E$35,2,FALSE()))^2+(VLOOKUP(A175,Zones!$B$2:$E$35,3,FALSE())-VLOOKUP(B175,Zones!$B$2:$E$35,3,FALSE()))^2+(VLOOKUP(A175,Zones!$B$2:$E$35,4,FALSE())-VLOOKUP(B175,Zones!$B$2:$E$35,4,FALSE()))^2),2),"")</f>
        <v/>
      </c>
      <c r="F175" s="6" t="str">
        <f aca="false">IFERROR(VLOOKUP(A175,Zones!$B$2:$E$35,4,FALSE()),"")</f>
        <v/>
      </c>
      <c r="G175" s="6" t="str">
        <f aca="false">IFERROR(VLOOKUP(B175,Zones!$B$2:$E$35,4,FALSE()),"")</f>
        <v/>
      </c>
      <c r="H175" s="6" t="str">
        <f aca="false">IFERROR(G175-F175,"")</f>
        <v/>
      </c>
      <c r="I175" s="2"/>
    </row>
    <row r="176" customFormat="false" ht="13.8" hidden="false" customHeight="false" outlineLevel="0" collapsed="false">
      <c r="A176" s="3"/>
      <c r="B176" s="3"/>
      <c r="C176" s="3" t="s">
        <v>3</v>
      </c>
      <c r="D176" s="3" t="s">
        <v>3</v>
      </c>
      <c r="E176" s="6" t="str">
        <f aca="false">IFERROR(ROUND(SQRT((VLOOKUP(A176,Zones!$B$2:$E$35,2,FALSE())-VLOOKUP(B176,Zones!$B$2:$E$35,2,FALSE()))^2+(VLOOKUP(A176,Zones!$B$2:$E$35,3,FALSE())-VLOOKUP(B176,Zones!$B$2:$E$35,3,FALSE()))^2+(VLOOKUP(A176,Zones!$B$2:$E$35,4,FALSE())-VLOOKUP(B176,Zones!$B$2:$E$35,4,FALSE()))^2),2),"")</f>
        <v/>
      </c>
      <c r="F176" s="6" t="str">
        <f aca="false">IFERROR(VLOOKUP(A176,Zones!$B$2:$E$35,4,FALSE()),"")</f>
        <v/>
      </c>
      <c r="G176" s="6" t="str">
        <f aca="false">IFERROR(VLOOKUP(B176,Zones!$B$2:$E$35,4,FALSE()),"")</f>
        <v/>
      </c>
      <c r="H176" s="6" t="str">
        <f aca="false">IFERROR(G176-F176,"")</f>
        <v/>
      </c>
      <c r="I176" s="2"/>
    </row>
    <row r="177" customFormat="false" ht="13.8" hidden="false" customHeight="false" outlineLevel="0" collapsed="false">
      <c r="A177" s="3"/>
      <c r="B177" s="3"/>
      <c r="C177" s="3" t="s">
        <v>3</v>
      </c>
      <c r="D177" s="3" t="s">
        <v>3</v>
      </c>
      <c r="E177" s="6" t="str">
        <f aca="false">IFERROR(ROUND(SQRT((VLOOKUP(A177,Zones!$B$2:$E$35,2,FALSE())-VLOOKUP(B177,Zones!$B$2:$E$35,2,FALSE()))^2+(VLOOKUP(A177,Zones!$B$2:$E$35,3,FALSE())-VLOOKUP(B177,Zones!$B$2:$E$35,3,FALSE()))^2+(VLOOKUP(A177,Zones!$B$2:$E$35,4,FALSE())-VLOOKUP(B177,Zones!$B$2:$E$35,4,FALSE()))^2),2),"")</f>
        <v/>
      </c>
      <c r="F177" s="6" t="str">
        <f aca="false">IFERROR(VLOOKUP(A177,Zones!$B$2:$E$35,4,FALSE()),"")</f>
        <v/>
      </c>
      <c r="G177" s="6" t="str">
        <f aca="false">IFERROR(VLOOKUP(B177,Zones!$B$2:$E$35,4,FALSE()),"")</f>
        <v/>
      </c>
      <c r="H177" s="6" t="str">
        <f aca="false">IFERROR(G177-F177,"")</f>
        <v/>
      </c>
      <c r="I177" s="2"/>
    </row>
    <row r="178" customFormat="false" ht="13.8" hidden="false" customHeight="false" outlineLevel="0" collapsed="false">
      <c r="A178" s="3"/>
      <c r="B178" s="3"/>
      <c r="C178" s="3" t="s">
        <v>3</v>
      </c>
      <c r="D178" s="3" t="s">
        <v>3</v>
      </c>
      <c r="E178" s="6" t="str">
        <f aca="false">IFERROR(ROUND(SQRT((VLOOKUP(A178,Zones!$B$2:$E$35,2,FALSE())-VLOOKUP(B178,Zones!$B$2:$E$35,2,FALSE()))^2+(VLOOKUP(A178,Zones!$B$2:$E$35,3,FALSE())-VLOOKUP(B178,Zones!$B$2:$E$35,3,FALSE()))^2+(VLOOKUP(A178,Zones!$B$2:$E$35,4,FALSE())-VLOOKUP(B178,Zones!$B$2:$E$35,4,FALSE()))^2),2),"")</f>
        <v/>
      </c>
      <c r="F178" s="6" t="str">
        <f aca="false">IFERROR(VLOOKUP(A178,Zones!$B$2:$E$35,4,FALSE()),"")</f>
        <v/>
      </c>
      <c r="G178" s="6" t="str">
        <f aca="false">IFERROR(VLOOKUP(B178,Zones!$B$2:$E$35,4,FALSE()),"")</f>
        <v/>
      </c>
      <c r="H178" s="6" t="str">
        <f aca="false">IFERROR(G178-F178,"")</f>
        <v/>
      </c>
      <c r="I178" s="2"/>
    </row>
    <row r="179" customFormat="false" ht="13.8" hidden="false" customHeight="false" outlineLevel="0" collapsed="false">
      <c r="A179" s="3"/>
      <c r="B179" s="3"/>
      <c r="C179" s="3" t="s">
        <v>3</v>
      </c>
      <c r="D179" s="3" t="s">
        <v>3</v>
      </c>
      <c r="E179" s="6" t="str">
        <f aca="false">IFERROR(ROUND(SQRT((VLOOKUP(A179,Zones!$B$2:$E$35,2,FALSE())-VLOOKUP(B179,Zones!$B$2:$E$35,2,FALSE()))^2+(VLOOKUP(A179,Zones!$B$2:$E$35,3,FALSE())-VLOOKUP(B179,Zones!$B$2:$E$35,3,FALSE()))^2+(VLOOKUP(A179,Zones!$B$2:$E$35,4,FALSE())-VLOOKUP(B179,Zones!$B$2:$E$35,4,FALSE()))^2),2),"")</f>
        <v/>
      </c>
      <c r="F179" s="6" t="str">
        <f aca="false">IFERROR(VLOOKUP(A179,Zones!$B$2:$E$35,4,FALSE()),"")</f>
        <v/>
      </c>
      <c r="G179" s="6" t="str">
        <f aca="false">IFERROR(VLOOKUP(B179,Zones!$B$2:$E$35,4,FALSE()),"")</f>
        <v/>
      </c>
      <c r="H179" s="6" t="str">
        <f aca="false">IFERROR(G179-F179,"")</f>
        <v/>
      </c>
      <c r="I179" s="2"/>
    </row>
    <row r="180" customFormat="false" ht="13.8" hidden="false" customHeight="false" outlineLevel="0" collapsed="false">
      <c r="A180" s="3"/>
      <c r="B180" s="3"/>
      <c r="C180" s="3" t="s">
        <v>3</v>
      </c>
      <c r="D180" s="3" t="s">
        <v>3</v>
      </c>
      <c r="E180" s="6" t="str">
        <f aca="false">IFERROR(ROUND(SQRT((VLOOKUP(A180,Zones!$B$2:$E$35,2,FALSE())-VLOOKUP(B180,Zones!$B$2:$E$35,2,FALSE()))^2+(VLOOKUP(A180,Zones!$B$2:$E$35,3,FALSE())-VLOOKUP(B180,Zones!$B$2:$E$35,3,FALSE()))^2+(VLOOKUP(A180,Zones!$B$2:$E$35,4,FALSE())-VLOOKUP(B180,Zones!$B$2:$E$35,4,FALSE()))^2),2),"")</f>
        <v/>
      </c>
      <c r="F180" s="6" t="str">
        <f aca="false">IFERROR(VLOOKUP(A180,Zones!$B$2:$E$35,4,FALSE()),"")</f>
        <v/>
      </c>
      <c r="G180" s="6" t="str">
        <f aca="false">IFERROR(VLOOKUP(B180,Zones!$B$2:$E$35,4,FALSE()),"")</f>
        <v/>
      </c>
      <c r="H180" s="6" t="str">
        <f aca="false">IFERROR(G180-F180,"")</f>
        <v/>
      </c>
      <c r="I180" s="2"/>
    </row>
    <row r="181" customFormat="false" ht="13.8" hidden="false" customHeight="false" outlineLevel="0" collapsed="false">
      <c r="A181" s="3"/>
      <c r="B181" s="3"/>
      <c r="C181" s="3" t="s">
        <v>3</v>
      </c>
      <c r="D181" s="3" t="s">
        <v>3</v>
      </c>
      <c r="E181" s="6" t="str">
        <f aca="false">IFERROR(ROUND(SQRT((VLOOKUP(A181,Zones!$B$2:$E$35,2,FALSE())-VLOOKUP(B181,Zones!$B$2:$E$35,2,FALSE()))^2+(VLOOKUP(A181,Zones!$B$2:$E$35,3,FALSE())-VLOOKUP(B181,Zones!$B$2:$E$35,3,FALSE()))^2+(VLOOKUP(A181,Zones!$B$2:$E$35,4,FALSE())-VLOOKUP(B181,Zones!$B$2:$E$35,4,FALSE()))^2),2),"")</f>
        <v/>
      </c>
      <c r="F181" s="6" t="str">
        <f aca="false">IFERROR(VLOOKUP(A181,Zones!$B$2:$E$35,4,FALSE()),"")</f>
        <v/>
      </c>
      <c r="G181" s="6" t="str">
        <f aca="false">IFERROR(VLOOKUP(B181,Zones!$B$2:$E$35,4,FALSE()),"")</f>
        <v/>
      </c>
      <c r="H181" s="6" t="str">
        <f aca="false">IFERROR(G181-F181,"")</f>
        <v/>
      </c>
      <c r="I181" s="2"/>
    </row>
    <row r="182" customFormat="false" ht="13.8" hidden="false" customHeight="false" outlineLevel="0" collapsed="false">
      <c r="A182" s="3"/>
      <c r="B182" s="3"/>
      <c r="C182" s="3" t="s">
        <v>3</v>
      </c>
      <c r="D182" s="3" t="s">
        <v>3</v>
      </c>
      <c r="E182" s="6" t="str">
        <f aca="false">IFERROR(ROUND(SQRT((VLOOKUP(A182,Zones!$B$2:$E$35,2,FALSE())-VLOOKUP(B182,Zones!$B$2:$E$35,2,FALSE()))^2+(VLOOKUP(A182,Zones!$B$2:$E$35,3,FALSE())-VLOOKUP(B182,Zones!$B$2:$E$35,3,FALSE()))^2+(VLOOKUP(A182,Zones!$B$2:$E$35,4,FALSE())-VLOOKUP(B182,Zones!$B$2:$E$35,4,FALSE()))^2),2),"")</f>
        <v/>
      </c>
      <c r="F182" s="6" t="str">
        <f aca="false">IFERROR(VLOOKUP(A182,Zones!$B$2:$E$35,4,FALSE()),"")</f>
        <v/>
      </c>
      <c r="G182" s="6" t="str">
        <f aca="false">IFERROR(VLOOKUP(B182,Zones!$B$2:$E$35,4,FALSE()),"")</f>
        <v/>
      </c>
      <c r="H182" s="6" t="str">
        <f aca="false">IFERROR(G182-F182,"")</f>
        <v/>
      </c>
      <c r="I182" s="2"/>
    </row>
    <row r="183" customFormat="false" ht="13.8" hidden="false" customHeight="false" outlineLevel="0" collapsed="false">
      <c r="A183" s="3"/>
      <c r="B183" s="3"/>
      <c r="C183" s="3" t="s">
        <v>3</v>
      </c>
      <c r="D183" s="3" t="s">
        <v>3</v>
      </c>
      <c r="E183" s="6" t="str">
        <f aca="false">IFERROR(ROUND(SQRT((VLOOKUP(A183,Zones!$B$2:$E$35,2,FALSE())-VLOOKUP(B183,Zones!$B$2:$E$35,2,FALSE()))^2+(VLOOKUP(A183,Zones!$B$2:$E$35,3,FALSE())-VLOOKUP(B183,Zones!$B$2:$E$35,3,FALSE()))^2+(VLOOKUP(A183,Zones!$B$2:$E$35,4,FALSE())-VLOOKUP(B183,Zones!$B$2:$E$35,4,FALSE()))^2),2),"")</f>
        <v/>
      </c>
      <c r="F183" s="6" t="str">
        <f aca="false">IFERROR(VLOOKUP(A183,Zones!$B$2:$E$35,4,FALSE()),"")</f>
        <v/>
      </c>
      <c r="G183" s="6" t="str">
        <f aca="false">IFERROR(VLOOKUP(B183,Zones!$B$2:$E$35,4,FALSE()),"")</f>
        <v/>
      </c>
      <c r="H183" s="6" t="str">
        <f aca="false">IFERROR(G183-F183,"")</f>
        <v/>
      </c>
      <c r="I183" s="2"/>
    </row>
    <row r="184" customFormat="false" ht="13.8" hidden="false" customHeight="false" outlineLevel="0" collapsed="false">
      <c r="A184" s="3"/>
      <c r="B184" s="3"/>
      <c r="C184" s="3" t="s">
        <v>3</v>
      </c>
      <c r="D184" s="3" t="s">
        <v>3</v>
      </c>
      <c r="E184" s="6" t="str">
        <f aca="false">IFERROR(ROUND(SQRT((VLOOKUP(A184,Zones!$B$2:$E$35,2,FALSE())-VLOOKUP(B184,Zones!$B$2:$E$35,2,FALSE()))^2+(VLOOKUP(A184,Zones!$B$2:$E$35,3,FALSE())-VLOOKUP(B184,Zones!$B$2:$E$35,3,FALSE()))^2+(VLOOKUP(A184,Zones!$B$2:$E$35,4,FALSE())-VLOOKUP(B184,Zones!$B$2:$E$35,4,FALSE()))^2),2),"")</f>
        <v/>
      </c>
      <c r="F184" s="6" t="str">
        <f aca="false">IFERROR(VLOOKUP(A184,Zones!$B$2:$E$35,4,FALSE()),"")</f>
        <v/>
      </c>
      <c r="G184" s="6" t="str">
        <f aca="false">IFERROR(VLOOKUP(B184,Zones!$B$2:$E$35,4,FALSE()),"")</f>
        <v/>
      </c>
      <c r="H184" s="6" t="str">
        <f aca="false">IFERROR(G184-F184,"")</f>
        <v/>
      </c>
      <c r="I184" s="2"/>
    </row>
    <row r="185" customFormat="false" ht="13.8" hidden="false" customHeight="false" outlineLevel="0" collapsed="false">
      <c r="A185" s="3"/>
      <c r="B185" s="3"/>
      <c r="C185" s="3" t="s">
        <v>3</v>
      </c>
      <c r="D185" s="3" t="s">
        <v>3</v>
      </c>
      <c r="E185" s="6" t="str">
        <f aca="false">IFERROR(ROUND(SQRT((VLOOKUP(A185,Zones!$B$2:$E$35,2,FALSE())-VLOOKUP(B185,Zones!$B$2:$E$35,2,FALSE()))^2+(VLOOKUP(A185,Zones!$B$2:$E$35,3,FALSE())-VLOOKUP(B185,Zones!$B$2:$E$35,3,FALSE()))^2+(VLOOKUP(A185,Zones!$B$2:$E$35,4,FALSE())-VLOOKUP(B185,Zones!$B$2:$E$35,4,FALSE()))^2),2),"")</f>
        <v/>
      </c>
      <c r="F185" s="6" t="str">
        <f aca="false">IFERROR(VLOOKUP(A185,Zones!$B$2:$E$35,4,FALSE()),"")</f>
        <v/>
      </c>
      <c r="G185" s="6" t="str">
        <f aca="false">IFERROR(VLOOKUP(B185,Zones!$B$2:$E$35,4,FALSE()),"")</f>
        <v/>
      </c>
      <c r="H185" s="6" t="str">
        <f aca="false">IFERROR(G185-F185,"")</f>
        <v/>
      </c>
      <c r="I185" s="2"/>
    </row>
    <row r="186" customFormat="false" ht="13.8" hidden="false" customHeight="false" outlineLevel="0" collapsed="false">
      <c r="A186" s="3"/>
      <c r="B186" s="3"/>
      <c r="C186" s="3" t="s">
        <v>3</v>
      </c>
      <c r="D186" s="3" t="s">
        <v>3</v>
      </c>
      <c r="E186" s="6" t="str">
        <f aca="false">IFERROR(ROUND(SQRT((VLOOKUP(A186,Zones!$B$2:$E$35,2,FALSE())-VLOOKUP(B186,Zones!$B$2:$E$35,2,FALSE()))^2+(VLOOKUP(A186,Zones!$B$2:$E$35,3,FALSE())-VLOOKUP(B186,Zones!$B$2:$E$35,3,FALSE()))^2+(VLOOKUP(A186,Zones!$B$2:$E$35,4,FALSE())-VLOOKUP(B186,Zones!$B$2:$E$35,4,FALSE()))^2),2),"")</f>
        <v/>
      </c>
      <c r="F186" s="6" t="str">
        <f aca="false">IFERROR(VLOOKUP(A186,Zones!$B$2:$E$35,4,FALSE()),"")</f>
        <v/>
      </c>
      <c r="G186" s="6" t="str">
        <f aca="false">IFERROR(VLOOKUP(B186,Zones!$B$2:$E$35,4,FALSE()),"")</f>
        <v/>
      </c>
      <c r="H186" s="6" t="str">
        <f aca="false">IFERROR(G186-F186,"")</f>
        <v/>
      </c>
      <c r="I186" s="2"/>
    </row>
    <row r="187" customFormat="false" ht="13.8" hidden="false" customHeight="false" outlineLevel="0" collapsed="false">
      <c r="A187" s="3"/>
      <c r="B187" s="3"/>
      <c r="C187" s="3" t="s">
        <v>3</v>
      </c>
      <c r="D187" s="3" t="s">
        <v>3</v>
      </c>
      <c r="E187" s="6" t="str">
        <f aca="false">IFERROR(ROUND(SQRT((VLOOKUP(A187,Zones!$B$2:$E$35,2,FALSE())-VLOOKUP(B187,Zones!$B$2:$E$35,2,FALSE()))^2+(VLOOKUP(A187,Zones!$B$2:$E$35,3,FALSE())-VLOOKUP(B187,Zones!$B$2:$E$35,3,FALSE()))^2+(VLOOKUP(A187,Zones!$B$2:$E$35,4,FALSE())-VLOOKUP(B187,Zones!$B$2:$E$35,4,FALSE()))^2),2),"")</f>
        <v/>
      </c>
      <c r="F187" s="6" t="str">
        <f aca="false">IFERROR(VLOOKUP(A187,Zones!$B$2:$E$35,4,FALSE()),"")</f>
        <v/>
      </c>
      <c r="G187" s="6" t="str">
        <f aca="false">IFERROR(VLOOKUP(B187,Zones!$B$2:$E$35,4,FALSE()),"")</f>
        <v/>
      </c>
      <c r="H187" s="6" t="str">
        <f aca="false">IFERROR(G187-F187,"")</f>
        <v/>
      </c>
      <c r="I187" s="2"/>
    </row>
    <row r="188" customFormat="false" ht="13.8" hidden="false" customHeight="false" outlineLevel="0" collapsed="false">
      <c r="A188" s="3"/>
      <c r="B188" s="3"/>
      <c r="C188" s="3" t="s">
        <v>3</v>
      </c>
      <c r="D188" s="3" t="s">
        <v>3</v>
      </c>
      <c r="E188" s="6" t="str">
        <f aca="false">IFERROR(ROUND(SQRT((VLOOKUP(A188,Zones!$B$2:$E$35,2,FALSE())-VLOOKUP(B188,Zones!$B$2:$E$35,2,FALSE()))^2+(VLOOKUP(A188,Zones!$B$2:$E$35,3,FALSE())-VLOOKUP(B188,Zones!$B$2:$E$35,3,FALSE()))^2+(VLOOKUP(A188,Zones!$B$2:$E$35,4,FALSE())-VLOOKUP(B188,Zones!$B$2:$E$35,4,FALSE()))^2),2),"")</f>
        <v/>
      </c>
      <c r="F188" s="6" t="str">
        <f aca="false">IFERROR(VLOOKUP(A188,Zones!$B$2:$E$35,4,FALSE()),"")</f>
        <v/>
      </c>
      <c r="G188" s="6" t="str">
        <f aca="false">IFERROR(VLOOKUP(B188,Zones!$B$2:$E$35,4,FALSE()),"")</f>
        <v/>
      </c>
      <c r="H188" s="6" t="str">
        <f aca="false">IFERROR(G188-F188,"")</f>
        <v/>
      </c>
      <c r="I188" s="2"/>
    </row>
    <row r="189" customFormat="false" ht="13.8" hidden="false" customHeight="false" outlineLevel="0" collapsed="false">
      <c r="A189" s="3"/>
      <c r="B189" s="3"/>
      <c r="C189" s="3" t="s">
        <v>3</v>
      </c>
      <c r="D189" s="3" t="s">
        <v>3</v>
      </c>
      <c r="E189" s="6" t="str">
        <f aca="false">IFERROR(ROUND(SQRT((VLOOKUP(A189,Zones!$B$2:$E$35,2,FALSE())-VLOOKUP(B189,Zones!$B$2:$E$35,2,FALSE()))^2+(VLOOKUP(A189,Zones!$B$2:$E$35,3,FALSE())-VLOOKUP(B189,Zones!$B$2:$E$35,3,FALSE()))^2+(VLOOKUP(A189,Zones!$B$2:$E$35,4,FALSE())-VLOOKUP(B189,Zones!$B$2:$E$35,4,FALSE()))^2),2),"")</f>
        <v/>
      </c>
      <c r="F189" s="6" t="str">
        <f aca="false">IFERROR(VLOOKUP(A189,Zones!$B$2:$E$35,4,FALSE()),"")</f>
        <v/>
      </c>
      <c r="G189" s="6" t="str">
        <f aca="false">IFERROR(VLOOKUP(B189,Zones!$B$2:$E$35,4,FALSE()),"")</f>
        <v/>
      </c>
      <c r="H189" s="6" t="str">
        <f aca="false">IFERROR(G189-F189,"")</f>
        <v/>
      </c>
      <c r="I189" s="2"/>
    </row>
    <row r="190" customFormat="false" ht="13.8" hidden="false" customHeight="false" outlineLevel="0" collapsed="false">
      <c r="A190" s="3"/>
      <c r="B190" s="3"/>
      <c r="C190" s="3" t="s">
        <v>3</v>
      </c>
      <c r="D190" s="3" t="s">
        <v>3</v>
      </c>
      <c r="E190" s="6" t="str">
        <f aca="false">IFERROR(ROUND(SQRT((VLOOKUP(A190,Zones!$B$2:$E$35,2,FALSE())-VLOOKUP(B190,Zones!$B$2:$E$35,2,FALSE()))^2+(VLOOKUP(A190,Zones!$B$2:$E$35,3,FALSE())-VLOOKUP(B190,Zones!$B$2:$E$35,3,FALSE()))^2+(VLOOKUP(A190,Zones!$B$2:$E$35,4,FALSE())-VLOOKUP(B190,Zones!$B$2:$E$35,4,FALSE()))^2),2),"")</f>
        <v/>
      </c>
      <c r="F190" s="6" t="str">
        <f aca="false">IFERROR(VLOOKUP(A190,Zones!$B$2:$E$35,4,FALSE()),"")</f>
        <v/>
      </c>
      <c r="G190" s="6" t="str">
        <f aca="false">IFERROR(VLOOKUP(B190,Zones!$B$2:$E$35,4,FALSE()),"")</f>
        <v/>
      </c>
      <c r="H190" s="6" t="str">
        <f aca="false">IFERROR(G190-F190,"")</f>
        <v/>
      </c>
      <c r="I190" s="2"/>
    </row>
    <row r="191" customFormat="false" ht="13.8" hidden="false" customHeight="false" outlineLevel="0" collapsed="false">
      <c r="A191" s="3"/>
      <c r="B191" s="3"/>
      <c r="C191" s="3" t="s">
        <v>3</v>
      </c>
      <c r="D191" s="3" t="s">
        <v>3</v>
      </c>
      <c r="E191" s="6" t="str">
        <f aca="false">IFERROR(ROUND(SQRT((VLOOKUP(A191,Zones!$B$2:$E$35,2,FALSE())-VLOOKUP(B191,Zones!$B$2:$E$35,2,FALSE()))^2+(VLOOKUP(A191,Zones!$B$2:$E$35,3,FALSE())-VLOOKUP(B191,Zones!$B$2:$E$35,3,FALSE()))^2+(VLOOKUP(A191,Zones!$B$2:$E$35,4,FALSE())-VLOOKUP(B191,Zones!$B$2:$E$35,4,FALSE()))^2),2),"")</f>
        <v/>
      </c>
      <c r="F191" s="6" t="str">
        <f aca="false">IFERROR(VLOOKUP(A191,Zones!$B$2:$E$35,4,FALSE()),"")</f>
        <v/>
      </c>
      <c r="G191" s="6" t="str">
        <f aca="false">IFERROR(VLOOKUP(B191,Zones!$B$2:$E$35,4,FALSE()),"")</f>
        <v/>
      </c>
      <c r="H191" s="6" t="str">
        <f aca="false">IFERROR(G191-F191,"")</f>
        <v/>
      </c>
      <c r="I191" s="2"/>
    </row>
    <row r="192" customFormat="false" ht="13.8" hidden="false" customHeight="false" outlineLevel="0" collapsed="false">
      <c r="A192" s="3"/>
      <c r="B192" s="3"/>
      <c r="C192" s="3" t="s">
        <v>3</v>
      </c>
      <c r="D192" s="3" t="s">
        <v>3</v>
      </c>
      <c r="E192" s="6" t="str">
        <f aca="false">IFERROR(ROUND(SQRT((VLOOKUP(A192,Zones!$B$2:$E$35,2,FALSE())-VLOOKUP(B192,Zones!$B$2:$E$35,2,FALSE()))^2+(VLOOKUP(A192,Zones!$B$2:$E$35,3,FALSE())-VLOOKUP(B192,Zones!$B$2:$E$35,3,FALSE()))^2+(VLOOKUP(A192,Zones!$B$2:$E$35,4,FALSE())-VLOOKUP(B192,Zones!$B$2:$E$35,4,FALSE()))^2),2),"")</f>
        <v/>
      </c>
      <c r="F192" s="6" t="str">
        <f aca="false">IFERROR(VLOOKUP(A192,Zones!$B$2:$E$35,4,FALSE()),"")</f>
        <v/>
      </c>
      <c r="G192" s="6" t="str">
        <f aca="false">IFERROR(VLOOKUP(B192,Zones!$B$2:$E$35,4,FALSE()),"")</f>
        <v/>
      </c>
      <c r="H192" s="6" t="str">
        <f aca="false">IFERROR(G192-F192,"")</f>
        <v/>
      </c>
      <c r="I192" s="2"/>
    </row>
    <row r="193" customFormat="false" ht="13.8" hidden="false" customHeight="false" outlineLevel="0" collapsed="false">
      <c r="A193" s="3"/>
      <c r="B193" s="3"/>
      <c r="C193" s="3" t="s">
        <v>3</v>
      </c>
      <c r="D193" s="3" t="s">
        <v>3</v>
      </c>
      <c r="E193" s="6" t="str">
        <f aca="false">IFERROR(ROUND(SQRT((VLOOKUP(A193,Zones!$B$2:$E$35,2,FALSE())-VLOOKUP(B193,Zones!$B$2:$E$35,2,FALSE()))^2+(VLOOKUP(A193,Zones!$B$2:$E$35,3,FALSE())-VLOOKUP(B193,Zones!$B$2:$E$35,3,FALSE()))^2+(VLOOKUP(A193,Zones!$B$2:$E$35,4,FALSE())-VLOOKUP(B193,Zones!$B$2:$E$35,4,FALSE()))^2),2),"")</f>
        <v/>
      </c>
      <c r="F193" s="6" t="str">
        <f aca="false">IFERROR(VLOOKUP(A193,Zones!$B$2:$E$35,4,FALSE()),"")</f>
        <v/>
      </c>
      <c r="G193" s="6" t="str">
        <f aca="false">IFERROR(VLOOKUP(B193,Zones!$B$2:$E$35,4,FALSE()),"")</f>
        <v/>
      </c>
      <c r="H193" s="6" t="str">
        <f aca="false">IFERROR(G193-F193,"")</f>
        <v/>
      </c>
      <c r="I193" s="2"/>
    </row>
    <row r="194" customFormat="false" ht="13.8" hidden="false" customHeight="false" outlineLevel="0" collapsed="false">
      <c r="A194" s="3"/>
      <c r="B194" s="3"/>
      <c r="C194" s="3" t="s">
        <v>3</v>
      </c>
      <c r="D194" s="3" t="s">
        <v>3</v>
      </c>
      <c r="E194" s="6" t="str">
        <f aca="false">IFERROR(ROUND(SQRT((VLOOKUP(A194,Zones!$B$2:$E$35,2,FALSE())-VLOOKUP(B194,Zones!$B$2:$E$35,2,FALSE()))^2+(VLOOKUP(A194,Zones!$B$2:$E$35,3,FALSE())-VLOOKUP(B194,Zones!$B$2:$E$35,3,FALSE()))^2+(VLOOKUP(A194,Zones!$B$2:$E$35,4,FALSE())-VLOOKUP(B194,Zones!$B$2:$E$35,4,FALSE()))^2),2),"")</f>
        <v/>
      </c>
      <c r="F194" s="6" t="str">
        <f aca="false">IFERROR(VLOOKUP(A194,Zones!$B$2:$E$35,4,FALSE()),"")</f>
        <v/>
      </c>
      <c r="G194" s="6" t="str">
        <f aca="false">IFERROR(VLOOKUP(B194,Zones!$B$2:$E$35,4,FALSE()),"")</f>
        <v/>
      </c>
      <c r="H194" s="6" t="str">
        <f aca="false">IFERROR(G194-F194,"")</f>
        <v/>
      </c>
      <c r="I194" s="2"/>
    </row>
    <row r="195" customFormat="false" ht="13.8" hidden="false" customHeight="false" outlineLevel="0" collapsed="false">
      <c r="A195" s="3"/>
      <c r="B195" s="3"/>
      <c r="C195" s="3" t="s">
        <v>3</v>
      </c>
      <c r="D195" s="3" t="s">
        <v>3</v>
      </c>
      <c r="E195" s="6" t="str">
        <f aca="false">IFERROR(ROUND(SQRT((VLOOKUP(A195,Zones!$B$2:$E$35,2,FALSE())-VLOOKUP(B195,Zones!$B$2:$E$35,2,FALSE()))^2+(VLOOKUP(A195,Zones!$B$2:$E$35,3,FALSE())-VLOOKUP(B195,Zones!$B$2:$E$35,3,FALSE()))^2+(VLOOKUP(A195,Zones!$B$2:$E$35,4,FALSE())-VLOOKUP(B195,Zones!$B$2:$E$35,4,FALSE()))^2),2),"")</f>
        <v/>
      </c>
      <c r="F195" s="6" t="str">
        <f aca="false">IFERROR(VLOOKUP(A195,Zones!$B$2:$E$35,4,FALSE()),"")</f>
        <v/>
      </c>
      <c r="G195" s="6" t="str">
        <f aca="false">IFERROR(VLOOKUP(B195,Zones!$B$2:$E$35,4,FALSE()),"")</f>
        <v/>
      </c>
      <c r="H195" s="6" t="str">
        <f aca="false">IFERROR(G195-F195,"")</f>
        <v/>
      </c>
      <c r="I195" s="2"/>
    </row>
    <row r="196" customFormat="false" ht="13.8" hidden="false" customHeight="false" outlineLevel="0" collapsed="false">
      <c r="A196" s="3"/>
      <c r="B196" s="3"/>
      <c r="C196" s="3" t="s">
        <v>3</v>
      </c>
      <c r="D196" s="3" t="s">
        <v>3</v>
      </c>
      <c r="E196" s="6" t="str">
        <f aca="false">IFERROR(ROUND(SQRT((VLOOKUP(A196,Zones!$B$2:$E$35,2,FALSE())-VLOOKUP(B196,Zones!$B$2:$E$35,2,FALSE()))^2+(VLOOKUP(A196,Zones!$B$2:$E$35,3,FALSE())-VLOOKUP(B196,Zones!$B$2:$E$35,3,FALSE()))^2+(VLOOKUP(A196,Zones!$B$2:$E$35,4,FALSE())-VLOOKUP(B196,Zones!$B$2:$E$35,4,FALSE()))^2),2),"")</f>
        <v/>
      </c>
      <c r="F196" s="6" t="str">
        <f aca="false">IFERROR(VLOOKUP(A196,Zones!$B$2:$E$35,4,FALSE()),"")</f>
        <v/>
      </c>
      <c r="G196" s="6" t="str">
        <f aca="false">IFERROR(VLOOKUP(B196,Zones!$B$2:$E$35,4,FALSE()),"")</f>
        <v/>
      </c>
      <c r="H196" s="6" t="str">
        <f aca="false">IFERROR(G196-F196,"")</f>
        <v/>
      </c>
      <c r="I196" s="2"/>
    </row>
    <row r="197" customFormat="false" ht="13.8" hidden="false" customHeight="false" outlineLevel="0" collapsed="false">
      <c r="A197" s="3"/>
      <c r="B197" s="3"/>
      <c r="C197" s="3" t="s">
        <v>3</v>
      </c>
      <c r="D197" s="3" t="s">
        <v>3</v>
      </c>
      <c r="E197" s="6" t="str">
        <f aca="false">IFERROR(ROUND(SQRT((VLOOKUP(A197,Zones!$B$2:$E$35,2,FALSE())-VLOOKUP(B197,Zones!$B$2:$E$35,2,FALSE()))^2+(VLOOKUP(A197,Zones!$B$2:$E$35,3,FALSE())-VLOOKUP(B197,Zones!$B$2:$E$35,3,FALSE()))^2+(VLOOKUP(A197,Zones!$B$2:$E$35,4,FALSE())-VLOOKUP(B197,Zones!$B$2:$E$35,4,FALSE()))^2),2),"")</f>
        <v/>
      </c>
      <c r="F197" s="6" t="str">
        <f aca="false">IFERROR(VLOOKUP(A197,Zones!$B$2:$E$35,4,FALSE()),"")</f>
        <v/>
      </c>
      <c r="G197" s="6" t="str">
        <f aca="false">IFERROR(VLOOKUP(B197,Zones!$B$2:$E$35,4,FALSE()),"")</f>
        <v/>
      </c>
      <c r="H197" s="6" t="str">
        <f aca="false">IFERROR(G197-F197,"")</f>
        <v/>
      </c>
      <c r="I197" s="2"/>
    </row>
    <row r="198" customFormat="false" ht="13.8" hidden="false" customHeight="false" outlineLevel="0" collapsed="false">
      <c r="A198" s="3"/>
      <c r="B198" s="3"/>
      <c r="C198" s="3" t="s">
        <v>3</v>
      </c>
      <c r="D198" s="3" t="s">
        <v>3</v>
      </c>
      <c r="E198" s="6" t="str">
        <f aca="false">IFERROR(ROUND(SQRT((VLOOKUP(A198,Zones!$B$2:$E$35,2,FALSE())-VLOOKUP(B198,Zones!$B$2:$E$35,2,FALSE()))^2+(VLOOKUP(A198,Zones!$B$2:$E$35,3,FALSE())-VLOOKUP(B198,Zones!$B$2:$E$35,3,FALSE()))^2+(VLOOKUP(A198,Zones!$B$2:$E$35,4,FALSE())-VLOOKUP(B198,Zones!$B$2:$E$35,4,FALSE()))^2),2),"")</f>
        <v/>
      </c>
      <c r="F198" s="6" t="str">
        <f aca="false">IFERROR(VLOOKUP(A198,Zones!$B$2:$E$35,4,FALSE()),"")</f>
        <v/>
      </c>
      <c r="G198" s="6" t="str">
        <f aca="false">IFERROR(VLOOKUP(B198,Zones!$B$2:$E$35,4,FALSE()),"")</f>
        <v/>
      </c>
      <c r="H198" s="6" t="str">
        <f aca="false">IFERROR(G198-F198,"")</f>
        <v/>
      </c>
      <c r="I198" s="2"/>
    </row>
    <row r="199" customFormat="false" ht="13.8" hidden="false" customHeight="false" outlineLevel="0" collapsed="false">
      <c r="A199" s="3"/>
      <c r="B199" s="3"/>
      <c r="C199" s="3" t="s">
        <v>3</v>
      </c>
      <c r="D199" s="3" t="s">
        <v>3</v>
      </c>
      <c r="E199" s="6" t="str">
        <f aca="false">IFERROR(ROUND(SQRT((VLOOKUP(A199,Zones!$B$2:$E$35,2,FALSE())-VLOOKUP(B199,Zones!$B$2:$E$35,2,FALSE()))^2+(VLOOKUP(A199,Zones!$B$2:$E$35,3,FALSE())-VLOOKUP(B199,Zones!$B$2:$E$35,3,FALSE()))^2+(VLOOKUP(A199,Zones!$B$2:$E$35,4,FALSE())-VLOOKUP(B199,Zones!$B$2:$E$35,4,FALSE()))^2),2),"")</f>
        <v/>
      </c>
      <c r="F199" s="6" t="str">
        <f aca="false">IFERROR(VLOOKUP(A199,Zones!$B$2:$E$35,4,FALSE()),"")</f>
        <v/>
      </c>
      <c r="G199" s="6" t="str">
        <f aca="false">IFERROR(VLOOKUP(B199,Zones!$B$2:$E$35,4,FALSE()),"")</f>
        <v/>
      </c>
      <c r="H199" s="6" t="str">
        <f aca="false">IFERROR(G199-F199,"")</f>
        <v/>
      </c>
      <c r="I199" s="2"/>
    </row>
    <row r="200" customFormat="false" ht="13.8" hidden="false" customHeight="false" outlineLevel="0" collapsed="false">
      <c r="A200" s="3"/>
      <c r="B200" s="3"/>
      <c r="C200" s="3" t="s">
        <v>3</v>
      </c>
      <c r="D200" s="3" t="s">
        <v>3</v>
      </c>
      <c r="E200" s="6" t="str">
        <f aca="false">IFERROR(ROUND(SQRT((VLOOKUP(A200,Zones!$B$2:$E$35,2,FALSE())-VLOOKUP(B200,Zones!$B$2:$E$35,2,FALSE()))^2+(VLOOKUP(A200,Zones!$B$2:$E$35,3,FALSE())-VLOOKUP(B200,Zones!$B$2:$E$35,3,FALSE()))^2+(VLOOKUP(A200,Zones!$B$2:$E$35,4,FALSE())-VLOOKUP(B200,Zones!$B$2:$E$35,4,FALSE()))^2),2),"")</f>
        <v/>
      </c>
      <c r="F200" s="6" t="str">
        <f aca="false">IFERROR(VLOOKUP(A200,Zones!$B$2:$E$35,4,FALSE()),"")</f>
        <v/>
      </c>
      <c r="G200" s="6" t="str">
        <f aca="false">IFERROR(VLOOKUP(B200,Zones!$B$2:$E$35,4,FALSE()),"")</f>
        <v/>
      </c>
      <c r="H200" s="6" t="str">
        <f aca="false">IFERROR(G200-F200,"")</f>
        <v/>
      </c>
      <c r="I200" s="2"/>
    </row>
    <row r="201" customFormat="false" ht="13.8" hidden="false" customHeight="false" outlineLevel="0" collapsed="false">
      <c r="A201" s="3"/>
      <c r="B201" s="3"/>
      <c r="C201" s="3" t="s">
        <v>3</v>
      </c>
      <c r="D201" s="3" t="s">
        <v>3</v>
      </c>
      <c r="E201" s="6" t="str">
        <f aca="false">IFERROR(ROUND(SQRT((VLOOKUP(A201,Zones!$B$2:$E$35,2,FALSE())-VLOOKUP(B201,Zones!$B$2:$E$35,2,FALSE()))^2+(VLOOKUP(A201,Zones!$B$2:$E$35,3,FALSE())-VLOOKUP(B201,Zones!$B$2:$E$35,3,FALSE()))^2+(VLOOKUP(A201,Zones!$B$2:$E$35,4,FALSE())-VLOOKUP(B201,Zones!$B$2:$E$35,4,FALSE()))^2),2),"")</f>
        <v/>
      </c>
      <c r="F201" s="6" t="str">
        <f aca="false">IFERROR(VLOOKUP(A201,Zones!$B$2:$E$35,4,FALSE()),"")</f>
        <v/>
      </c>
      <c r="G201" s="6" t="str">
        <f aca="false">IFERROR(VLOOKUP(B201,Zones!$B$2:$E$35,4,FALSE()),"")</f>
        <v/>
      </c>
      <c r="H201" s="6" t="str">
        <f aca="false">IFERROR(G201-F201,"")</f>
        <v/>
      </c>
      <c r="I201" s="2"/>
    </row>
  </sheetData>
  <dataValidations count="2">
    <dataValidation allowBlank="true" error="Zones 시트의 이름만 선택" errorStyle="stop" errorTitle="유효하지 않은 zone" operator="between" showDropDown="false" showErrorMessage="false" showInputMessage="false" sqref="B2:B34 A3:A34 A35:B201" type="list">
      <formula1>Zones!$B$2:$B$35</formula1>
      <formula2>0</formula2>
    </dataValidation>
    <dataValidation allowBlank="true" errorStyle="stop" operator="between" showDropDown="false" showErrorMessage="false" showInputMessage="false" sqref="C2:D20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7" t="s">
        <v>52</v>
      </c>
    </row>
    <row r="3" customFormat="false" ht="15" hidden="false" customHeight="false" outlineLevel="0" collapsed="false">
      <c r="A3" s="8" t="s">
        <v>53</v>
      </c>
    </row>
    <row r="4" customFormat="false" ht="15" hidden="false" customHeight="false" outlineLevel="0" collapsed="false">
      <c r="A4" s="0" t="s">
        <v>54</v>
      </c>
    </row>
    <row r="5" customFormat="false" ht="15" hidden="false" customHeight="false" outlineLevel="0" collapsed="false">
      <c r="A5" s="0" t="s">
        <v>55</v>
      </c>
    </row>
    <row r="6" customFormat="false" ht="15" hidden="false" customHeight="false" outlineLevel="0" collapsed="false">
      <c r="A6" s="0" t="s">
        <v>56</v>
      </c>
    </row>
    <row r="7" customFormat="false" ht="15" hidden="false" customHeight="false" outlineLevel="0" collapsed="false">
      <c r="A7" s="0" t="s">
        <v>57</v>
      </c>
    </row>
    <row r="9" customFormat="false" ht="15" hidden="false" customHeight="false" outlineLevel="0" collapsed="false">
      <c r="A9" s="9" t="s">
        <v>58</v>
      </c>
    </row>
    <row r="10" customFormat="false" ht="15" hidden="false" customHeight="false" outlineLevel="0" collapsed="false">
      <c r="A10" s="8" t="s">
        <v>59</v>
      </c>
    </row>
    <row r="11" customFormat="false" ht="15" hidden="false" customHeight="false" outlineLevel="0" collapsed="false">
      <c r="A11" s="0" t="s">
        <v>60</v>
      </c>
    </row>
    <row r="12" customFormat="false" ht="15" hidden="false" customHeight="false" outlineLevel="0" collapsed="false">
      <c r="A12" s="0" t="s">
        <v>61</v>
      </c>
    </row>
    <row r="13" customFormat="false" ht="15" hidden="false" customHeight="false" outlineLevel="0" collapsed="false">
      <c r="A13" s="0" t="s">
        <v>62</v>
      </c>
    </row>
    <row r="14" customFormat="false" ht="15" hidden="false" customHeight="false" outlineLevel="0" collapsed="false">
      <c r="A14" s="0" t="s">
        <v>63</v>
      </c>
    </row>
    <row r="15" customFormat="false" ht="15" hidden="false" customHeight="false" outlineLevel="0" collapsed="false">
      <c r="A15" s="0" t="s">
        <v>64</v>
      </c>
    </row>
    <row r="17" customFormat="false" ht="15" hidden="false" customHeight="false" outlineLevel="0" collapsed="false">
      <c r="A17" s="0" t="s">
        <v>65</v>
      </c>
    </row>
    <row r="18" customFormat="false" ht="15" hidden="false" customHeight="false" outlineLevel="0" collapsed="false">
      <c r="A18" s="0" t="s">
        <v>66</v>
      </c>
    </row>
    <row r="19" customFormat="false" ht="15" hidden="false" customHeight="false" outlineLevel="0" collapsed="false">
      <c r="A19" s="0" t="s">
        <v>67</v>
      </c>
    </row>
    <row r="20" customFormat="false" ht="15" hidden="false" customHeight="false" outlineLevel="0" collapsed="false">
      <c r="A20" s="0" t="s">
        <v>68</v>
      </c>
    </row>
    <row r="21" customFormat="false" ht="15" hidden="false" customHeight="false" outlineLevel="0" collapsed="false">
      <c r="A21" s="0" t="s">
        <v>69</v>
      </c>
    </row>
    <row r="22" customFormat="false" ht="15" hidden="false" customHeight="false" outlineLevel="0" collapsed="false">
      <c r="A22" s="0" t="s">
        <v>70</v>
      </c>
    </row>
    <row r="24" customFormat="false" ht="15" hidden="false" customHeight="false" outlineLevel="0" collapsed="false">
      <c r="A24" s="9" t="s">
        <v>71</v>
      </c>
    </row>
    <row r="25" customFormat="false" ht="15" hidden="false" customHeight="false" outlineLevel="0" collapsed="false">
      <c r="A25" s="9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2026-05-26T02:11:06Z</dcterms:created>
  <dc:creator>openpyxl</dc:creator>
  <dc:description/>
  <dc:language>en-US</dc:language>
  <cp:lastModifiedBy/>
  <dcterms:modified xsi:type="dcterms:W3CDTF">2026-05-26T11:19:50Z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